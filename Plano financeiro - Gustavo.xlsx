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drawings/drawing1.xml" ContentType="application/vnd.openxmlformats-officedocument.drawing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gusta\OneDrive\Desktop\"/>
    </mc:Choice>
  </mc:AlternateContent>
  <xr:revisionPtr revIDLastSave="0" documentId="13_ncr:1_{61A8D023-7D5A-4115-9804-3772B8C80550}" xr6:coauthVersionLast="47" xr6:coauthVersionMax="47" xr10:uidLastSave="{00000000-0000-0000-0000-000000000000}"/>
  <bookViews>
    <workbookView xWindow="-120" yWindow="-120" windowWidth="29040" windowHeight="15720" firstSheet="5" activeTab="5" xr2:uid="{00000000-000D-0000-FFFF-FFFF00000000}"/>
  </bookViews>
  <sheets>
    <sheet name="2024" sheetId="5" state="hidden" r:id="rId1"/>
    <sheet name="Gustavo 2023" sheetId="3" state="hidden" r:id="rId2"/>
    <sheet name="Sofia 2023 (2)" sheetId="6" state="hidden" r:id="rId3"/>
    <sheet name="Sofia 2023" sheetId="4" state="hidden" r:id="rId4"/>
    <sheet name="2022" sheetId="1" state="hidden" r:id="rId5"/>
    <sheet name="Movimentações" sheetId="15" r:id="rId6"/>
    <sheet name="Categorias" sheetId="16" r:id="rId7"/>
    <sheet name="Contas" sheetId="17" r:id="rId8"/>
  </sheets>
  <definedNames>
    <definedName name="_xlnm.Print_Titles" localSheetId="4">'2022'!$4:$4</definedName>
    <definedName name="_xlnm.Print_Titles" localSheetId="0">'2022'!$4:$4</definedName>
    <definedName name="_xlnm.Print_Titles" localSheetId="1">'2022'!$4:$4</definedName>
    <definedName name="_xlnm.Print_Titles" localSheetId="3">'2022'!$4:$4</definedName>
    <definedName name="_xlnm.Print_Titles" localSheetId="2">'2022'!$4:$4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W25" i="5" l="1"/>
  <c r="F30" i="5"/>
  <c r="S25" i="5"/>
  <c r="O20" i="5"/>
  <c r="O25" i="5"/>
  <c r="T17" i="5"/>
  <c r="C34" i="5"/>
  <c r="K21" i="5"/>
  <c r="K25" i="5"/>
  <c r="L17" i="5"/>
  <c r="E30" i="5"/>
  <c r="E31" i="5"/>
  <c r="E32" i="5"/>
  <c r="E33" i="5"/>
  <c r="E35" i="5"/>
  <c r="F31" i="5"/>
  <c r="F32" i="5"/>
  <c r="F33" i="5"/>
  <c r="D31" i="5"/>
  <c r="C31" i="5"/>
  <c r="D33" i="5"/>
  <c r="C33" i="5"/>
  <c r="D32" i="5"/>
  <c r="C32" i="5"/>
  <c r="D30" i="5"/>
  <c r="D35" i="5"/>
  <c r="G19" i="5"/>
  <c r="G20" i="5"/>
  <c r="G25" i="5"/>
  <c r="H17" i="5"/>
  <c r="C26" i="5"/>
  <c r="C19" i="5"/>
  <c r="C21" i="5"/>
  <c r="C25" i="5"/>
  <c r="D17" i="5"/>
  <c r="W5" i="5"/>
  <c r="W8" i="5"/>
  <c r="X3" i="5"/>
  <c r="S11" i="5"/>
  <c r="O6" i="5"/>
  <c r="O11" i="5"/>
  <c r="P3" i="5"/>
  <c r="AA5" i="6"/>
  <c r="AG11" i="6"/>
  <c r="AA11" i="6"/>
  <c r="U11" i="6"/>
  <c r="O11" i="6"/>
  <c r="AG25" i="6"/>
  <c r="AA25" i="6"/>
  <c r="U25" i="6"/>
  <c r="O25" i="6"/>
  <c r="I25" i="6"/>
  <c r="C25" i="6"/>
  <c r="AJ24" i="6"/>
  <c r="AG24" i="6"/>
  <c r="AD24" i="6"/>
  <c r="AA24" i="6"/>
  <c r="X24" i="6"/>
  <c r="U24" i="6"/>
  <c r="R24" i="6"/>
  <c r="O24" i="6"/>
  <c r="L24" i="6"/>
  <c r="I24" i="6"/>
  <c r="F24" i="6"/>
  <c r="C24" i="6"/>
  <c r="AJ11" i="6"/>
  <c r="AJ12" i="6"/>
  <c r="AG12" i="6"/>
  <c r="AD11" i="6"/>
  <c r="AD12" i="6"/>
  <c r="AA12" i="6"/>
  <c r="X11" i="6"/>
  <c r="X12" i="6"/>
  <c r="U12" i="6"/>
  <c r="R11" i="6"/>
  <c r="R12" i="6"/>
  <c r="O12" i="6"/>
  <c r="L11" i="6"/>
  <c r="I11" i="6"/>
  <c r="L12" i="6"/>
  <c r="I12" i="6"/>
  <c r="C11" i="6"/>
  <c r="C12" i="6"/>
  <c r="F11" i="6"/>
  <c r="K11" i="5"/>
  <c r="L3" i="5"/>
  <c r="G11" i="5"/>
  <c r="H3" i="5"/>
  <c r="C11" i="5"/>
  <c r="D3" i="5"/>
  <c r="W19" i="3"/>
  <c r="W22" i="3"/>
  <c r="W25" i="3"/>
  <c r="S19" i="3"/>
  <c r="C44" i="3"/>
  <c r="X17" i="3"/>
  <c r="S25" i="3"/>
  <c r="T17" i="3"/>
  <c r="I44" i="3"/>
  <c r="D46" i="3"/>
  <c r="I46" i="3"/>
  <c r="C47" i="3"/>
  <c r="E47" i="3"/>
  <c r="I47" i="3"/>
  <c r="J47" i="3"/>
  <c r="I45" i="3"/>
  <c r="C45" i="3"/>
  <c r="J45" i="3"/>
  <c r="O25" i="3"/>
  <c r="G22" i="3"/>
  <c r="C46" i="3"/>
  <c r="AG22" i="3"/>
  <c r="K25" i="3"/>
  <c r="H17" i="3"/>
  <c r="C25" i="3"/>
  <c r="C11" i="3"/>
  <c r="X3" i="3"/>
  <c r="W11" i="3"/>
  <c r="AF5" i="3"/>
  <c r="S11" i="3"/>
  <c r="AG11" i="4"/>
  <c r="AJ11" i="4"/>
  <c r="AJ12" i="4"/>
  <c r="AD11" i="4"/>
  <c r="AA11" i="4"/>
  <c r="AD12" i="4"/>
  <c r="O11" i="3"/>
  <c r="L3" i="3"/>
  <c r="K11" i="3"/>
  <c r="U11" i="4"/>
  <c r="X11" i="4"/>
  <c r="X12" i="4"/>
  <c r="G12" i="3"/>
  <c r="H3" i="3"/>
  <c r="R11" i="4"/>
  <c r="O11" i="4"/>
  <c r="R12" i="4"/>
  <c r="O12" i="4"/>
  <c r="L11" i="4"/>
  <c r="I11" i="4"/>
  <c r="I12" i="4"/>
  <c r="L12" i="4"/>
  <c r="U12" i="4"/>
  <c r="C11" i="4"/>
  <c r="C12" i="4"/>
  <c r="G11" i="3"/>
  <c r="F24" i="4"/>
  <c r="L24" i="4"/>
  <c r="R24" i="4"/>
  <c r="X24" i="4"/>
  <c r="AD24" i="4"/>
  <c r="AJ24" i="4"/>
  <c r="F11" i="4"/>
  <c r="W11" i="1"/>
  <c r="D3" i="3"/>
  <c r="C40" i="3"/>
  <c r="E40" i="3"/>
  <c r="C41" i="3"/>
  <c r="D40" i="3"/>
  <c r="T3" i="1"/>
  <c r="AG25" i="4"/>
  <c r="AG24" i="4"/>
  <c r="AA25" i="4"/>
  <c r="AA24" i="4"/>
  <c r="U25" i="4"/>
  <c r="U24" i="4"/>
  <c r="O25" i="4"/>
  <c r="O24" i="4"/>
  <c r="I25" i="4"/>
  <c r="I24" i="4"/>
  <c r="C25" i="4"/>
  <c r="C24" i="4"/>
  <c r="K11" i="1"/>
  <c r="L3" i="1"/>
  <c r="O11" i="1"/>
  <c r="O12" i="1"/>
  <c r="O25" i="1"/>
  <c r="G12" i="1"/>
  <c r="O24" i="1"/>
  <c r="C11" i="1"/>
  <c r="W23" i="1"/>
  <c r="W12" i="1"/>
  <c r="G13" i="1"/>
  <c r="G24" i="1"/>
  <c r="AG12" i="4"/>
  <c r="AA12" i="4"/>
  <c r="D41" i="3"/>
  <c r="H48" i="3"/>
  <c r="I48" i="3"/>
  <c r="J46" i="3"/>
  <c r="J44" i="3"/>
  <c r="C48" i="3"/>
  <c r="J48" i="3"/>
  <c r="G25" i="3"/>
  <c r="W11" i="5"/>
  <c r="C30" i="5"/>
  <c r="F35" i="5"/>
  <c r="C35" i="5"/>
</calcChain>
</file>

<file path=xl/sharedStrings.xml><?xml version="1.0" encoding="utf-8"?>
<sst xmlns="http://schemas.openxmlformats.org/spreadsheetml/2006/main" count="1121" uniqueCount="282">
  <si>
    <t>Dívidas</t>
  </si>
  <si>
    <t>Valor</t>
  </si>
  <si>
    <t xml:space="preserve">Nubank </t>
  </si>
  <si>
    <t>C6</t>
  </si>
  <si>
    <t>PicPay</t>
  </si>
  <si>
    <t>itau</t>
  </si>
  <si>
    <t>Total</t>
  </si>
  <si>
    <t>Janeiro</t>
  </si>
  <si>
    <t>Fevereiro</t>
  </si>
  <si>
    <t>Março</t>
  </si>
  <si>
    <t>Agosto</t>
  </si>
  <si>
    <t>Setembro</t>
  </si>
  <si>
    <t>Outubro</t>
  </si>
  <si>
    <t>Novembro</t>
  </si>
  <si>
    <t>Dezembro</t>
  </si>
  <si>
    <t>Abril</t>
  </si>
  <si>
    <t>Maio</t>
  </si>
  <si>
    <t>Junho</t>
  </si>
  <si>
    <t xml:space="preserve"> </t>
  </si>
  <si>
    <t xml:space="preserve">GASTOS CARTÃO </t>
  </si>
  <si>
    <t xml:space="preserve">salário </t>
  </si>
  <si>
    <t xml:space="preserve">GASTOS CARTÃO  </t>
  </si>
  <si>
    <t>Item</t>
  </si>
  <si>
    <t>Preço</t>
  </si>
  <si>
    <t xml:space="preserve">PicPay (14,9) </t>
  </si>
  <si>
    <t>Gasolina</t>
  </si>
  <si>
    <t xml:space="preserve">Academia </t>
  </si>
  <si>
    <t xml:space="preserve">Restante </t>
  </si>
  <si>
    <t xml:space="preserve">Sobrou </t>
  </si>
  <si>
    <t>Restante</t>
  </si>
  <si>
    <t>Julho</t>
  </si>
  <si>
    <t xml:space="preserve">PicPay </t>
  </si>
  <si>
    <t>Gasolina (300)</t>
  </si>
  <si>
    <t>Sobrou</t>
  </si>
  <si>
    <t>sobrou</t>
  </si>
  <si>
    <t xml:space="preserve">Nubank (473,30) </t>
  </si>
  <si>
    <t xml:space="preserve">Nubank (382,5) </t>
  </si>
  <si>
    <t xml:space="preserve">Nubank (181,21) </t>
  </si>
  <si>
    <t xml:space="preserve">Nubank (584,23) </t>
  </si>
  <si>
    <t>C6 (89,90)</t>
  </si>
  <si>
    <t>C6 (194,85)</t>
  </si>
  <si>
    <t>C6 (100)</t>
  </si>
  <si>
    <t>C6 (104,93)</t>
  </si>
  <si>
    <t xml:space="preserve">PicPay (512) </t>
  </si>
  <si>
    <t xml:space="preserve">PicPay (612,05) </t>
  </si>
  <si>
    <t xml:space="preserve">PicPay (852,68) </t>
  </si>
  <si>
    <t xml:space="preserve">PicPay (753,41) </t>
  </si>
  <si>
    <t xml:space="preserve">PicPay (326,26) </t>
  </si>
  <si>
    <t>itau(793)</t>
  </si>
  <si>
    <t>itau (182,94)</t>
  </si>
  <si>
    <t>itau (38,96)</t>
  </si>
  <si>
    <t>itau (217,9)</t>
  </si>
  <si>
    <t>itau (552,14)</t>
  </si>
  <si>
    <t>Gasolina (400)</t>
  </si>
  <si>
    <t xml:space="preserve">Academia (130) </t>
  </si>
  <si>
    <t xml:space="preserve">Sobrou  </t>
  </si>
  <si>
    <t xml:space="preserve">Restante  </t>
  </si>
  <si>
    <t xml:space="preserve">Nubank (593,16) </t>
  </si>
  <si>
    <t xml:space="preserve">Nubank (682,98) </t>
  </si>
  <si>
    <t xml:space="preserve">Nubank (500) </t>
  </si>
  <si>
    <t xml:space="preserve">Nubank (1622,24) </t>
  </si>
  <si>
    <t xml:space="preserve">Nubank (1200) </t>
  </si>
  <si>
    <t>Nubank (1593,88)</t>
  </si>
  <si>
    <t>C6 (188)</t>
  </si>
  <si>
    <t>C6( 225)</t>
  </si>
  <si>
    <t>C6 (159,9)</t>
  </si>
  <si>
    <t>C6 (287,61)</t>
  </si>
  <si>
    <t>C6 (126)</t>
  </si>
  <si>
    <t>fechou</t>
  </si>
  <si>
    <t xml:space="preserve">PicPay (196,36) </t>
  </si>
  <si>
    <t xml:space="preserve">PicPay (95,93) </t>
  </si>
  <si>
    <t xml:space="preserve">PicPay (95,53) </t>
  </si>
  <si>
    <t>PicPay  (14,90)</t>
  </si>
  <si>
    <t>itau (697,47)</t>
  </si>
  <si>
    <t>itau (714,10)</t>
  </si>
  <si>
    <t>itau (87,49)</t>
  </si>
  <si>
    <t>itau (172,93)</t>
  </si>
  <si>
    <t xml:space="preserve">itau </t>
  </si>
  <si>
    <t>itau (85,44)</t>
  </si>
  <si>
    <t>Academia</t>
  </si>
  <si>
    <t xml:space="preserve">Academia (133) </t>
  </si>
  <si>
    <t>emprestimo</t>
  </si>
  <si>
    <t>PARA RECEBER</t>
  </si>
  <si>
    <t>Datas</t>
  </si>
  <si>
    <t>Dia 29</t>
  </si>
  <si>
    <t>Dia 20</t>
  </si>
  <si>
    <t>Salário do mês</t>
  </si>
  <si>
    <t xml:space="preserve">Recebido </t>
  </si>
  <si>
    <t>Orçamento:</t>
  </si>
  <si>
    <t>recebi</t>
  </si>
  <si>
    <t>notebook</t>
  </si>
  <si>
    <t>mês 05</t>
  </si>
  <si>
    <t>mês 06</t>
  </si>
  <si>
    <t>mês 07</t>
  </si>
  <si>
    <t>mês 08</t>
  </si>
  <si>
    <t>mês 09</t>
  </si>
  <si>
    <t>Sobra</t>
  </si>
  <si>
    <t>Planejamento</t>
  </si>
  <si>
    <t>Pago(626,51)</t>
  </si>
  <si>
    <t>Nubank</t>
  </si>
  <si>
    <t>100 (pago)</t>
  </si>
  <si>
    <t xml:space="preserve">Nubank pago </t>
  </si>
  <si>
    <t>486,69(pago)</t>
  </si>
  <si>
    <t>Nubank (Pago)</t>
  </si>
  <si>
    <t>500(pago)</t>
  </si>
  <si>
    <t>Nubank 550,93</t>
  </si>
  <si>
    <t>Pago</t>
  </si>
  <si>
    <t>Pago(295,30))</t>
  </si>
  <si>
    <t>C6.        307,02</t>
  </si>
  <si>
    <t>iphone (345)</t>
  </si>
  <si>
    <t>490(pago)</t>
  </si>
  <si>
    <t>PicPay   514,46</t>
  </si>
  <si>
    <t>246,82 (pago)</t>
  </si>
  <si>
    <t xml:space="preserve">PicPay pago  </t>
  </si>
  <si>
    <t>Renner 202</t>
  </si>
  <si>
    <t>1406 (pago)</t>
  </si>
  <si>
    <t>itau pago</t>
  </si>
  <si>
    <t>912,03 (pago)</t>
  </si>
  <si>
    <t>581,52 (pago)</t>
  </si>
  <si>
    <t>itau 979</t>
  </si>
  <si>
    <t>Itaú 25</t>
  </si>
  <si>
    <t xml:space="preserve">Pago </t>
  </si>
  <si>
    <t>Academia  pg</t>
  </si>
  <si>
    <t>N.A</t>
  </si>
  <si>
    <t>restante</t>
  </si>
  <si>
    <t xml:space="preserve">Disponível </t>
  </si>
  <si>
    <t>faltou</t>
  </si>
  <si>
    <t>Recebidos</t>
  </si>
  <si>
    <t xml:space="preserve">mês </t>
  </si>
  <si>
    <t>Orçamento</t>
  </si>
  <si>
    <t>total do mês</t>
  </si>
  <si>
    <t xml:space="preserve">Notebook mãe </t>
  </si>
  <si>
    <t>Nubank 802</t>
  </si>
  <si>
    <t>Nubank (619)</t>
  </si>
  <si>
    <t>Nubank (630)</t>
  </si>
  <si>
    <t>Nubank (991,82)</t>
  </si>
  <si>
    <t>Nubank (700,38)</t>
  </si>
  <si>
    <t>Nubank (400)</t>
  </si>
  <si>
    <t xml:space="preserve">Maio </t>
  </si>
  <si>
    <t xml:space="preserve">Junho </t>
  </si>
  <si>
    <t xml:space="preserve">Agosto </t>
  </si>
  <si>
    <t xml:space="preserve">Setembro </t>
  </si>
  <si>
    <t xml:space="preserve">Novembro </t>
  </si>
  <si>
    <t>Iphone (345)</t>
  </si>
  <si>
    <t>C6 (165,57)</t>
  </si>
  <si>
    <t>C6 (47,96)</t>
  </si>
  <si>
    <t>C6 (15,55)</t>
  </si>
  <si>
    <t>C6 15,55</t>
  </si>
  <si>
    <t xml:space="preserve">PicPay (250) </t>
  </si>
  <si>
    <t>PicPay (428,72)</t>
  </si>
  <si>
    <t>PicPay (308,72) +( 125,45)</t>
  </si>
  <si>
    <t xml:space="preserve">PicPay (395,91) </t>
  </si>
  <si>
    <t xml:space="preserve">itau 1.158,90 </t>
  </si>
  <si>
    <t>Itaú (699)</t>
  </si>
  <si>
    <t>itau (777)</t>
  </si>
  <si>
    <t>itau (138,82)</t>
  </si>
  <si>
    <t>itau 301,42</t>
  </si>
  <si>
    <t>itau (1594)</t>
  </si>
  <si>
    <t>Falta</t>
  </si>
  <si>
    <t>Gasolina (350)</t>
  </si>
  <si>
    <t xml:space="preserve">Seguro </t>
  </si>
  <si>
    <t>Academia (130)</t>
  </si>
  <si>
    <t>Academia  (130)</t>
  </si>
  <si>
    <t>POSSIVEIS GANHOS COM VENDAS</t>
  </si>
  <si>
    <t>MÍNIMO</t>
  </si>
  <si>
    <t>MÁXIMO</t>
  </si>
  <si>
    <t>REAL</t>
  </si>
  <si>
    <t>MICROFONE</t>
  </si>
  <si>
    <t>PROCESSADOR</t>
  </si>
  <si>
    <t>MEMORIA 8GB</t>
  </si>
  <si>
    <t>RELOGIO AMAZFIT</t>
  </si>
  <si>
    <t>TENIS ADIDAS</t>
  </si>
  <si>
    <t>Mouse</t>
  </si>
  <si>
    <t>TV</t>
  </si>
  <si>
    <t>R$ 300,00</t>
  </si>
  <si>
    <t>R$ 400,00</t>
  </si>
  <si>
    <t>R$ 335,00</t>
  </si>
  <si>
    <t>Mesa</t>
  </si>
  <si>
    <t>DIFERENÇA</t>
  </si>
  <si>
    <t>valor</t>
  </si>
  <si>
    <t>novembro</t>
  </si>
  <si>
    <t>dezembro</t>
  </si>
  <si>
    <t>janeiro</t>
  </si>
  <si>
    <t>fevereiro</t>
  </si>
  <si>
    <t>março</t>
  </si>
  <si>
    <t>real</t>
  </si>
  <si>
    <t>defasado</t>
  </si>
  <si>
    <t>Crédito</t>
  </si>
  <si>
    <t>Débito</t>
  </si>
  <si>
    <t>SOFIA</t>
  </si>
  <si>
    <t xml:space="preserve">SOFIA </t>
  </si>
  <si>
    <t xml:space="preserve">Gasto: </t>
  </si>
  <si>
    <t>Nubank (Sofia)</t>
  </si>
  <si>
    <t>Nubank (casa)</t>
  </si>
  <si>
    <t>credito + débito</t>
  </si>
  <si>
    <t xml:space="preserve">Mês outubro </t>
  </si>
  <si>
    <t>Mês novembro</t>
  </si>
  <si>
    <t>Mês dezembro</t>
  </si>
  <si>
    <t xml:space="preserve">GASTOS CARTÃO GUSTAVO </t>
  </si>
  <si>
    <t xml:space="preserve">GASTOS CARTÃO SOFIA </t>
  </si>
  <si>
    <t>pago</t>
  </si>
  <si>
    <t>Inter</t>
  </si>
  <si>
    <t>Sofia é minha pra sempre ?</t>
  </si>
  <si>
    <t xml:space="preserve">Sim </t>
  </si>
  <si>
    <t xml:space="preserve">Meu amor é meu pra smp? </t>
  </si>
  <si>
    <t>Siiiimmm</t>
  </si>
  <si>
    <t xml:space="preserve">Te amo amor </t>
  </si>
  <si>
    <t>Te amooooo meu príncipe</t>
  </si>
  <si>
    <t xml:space="preserve">GASTOS CASAL </t>
  </si>
  <si>
    <t xml:space="preserve">Orçamento: </t>
  </si>
  <si>
    <t xml:space="preserve">Te amo amor da minha vida </t>
  </si>
  <si>
    <t>meatz</t>
  </si>
  <si>
    <t xml:space="preserve">Lifebox </t>
  </si>
  <si>
    <t xml:space="preserve">Hamburgueria </t>
  </si>
  <si>
    <t>churrasquinho</t>
  </si>
  <si>
    <t>Lanche Unaí</t>
  </si>
  <si>
    <t xml:space="preserve">Domino's </t>
  </si>
  <si>
    <t>cinema</t>
  </si>
  <si>
    <t>mês não valido para contas</t>
  </si>
  <si>
    <t>estacionamento cinema</t>
  </si>
  <si>
    <t>almoço pós academia</t>
  </si>
  <si>
    <t>Ifood</t>
  </si>
  <si>
    <t xml:space="preserve">Presente mãe  </t>
  </si>
  <si>
    <t xml:space="preserve">disponivel </t>
  </si>
  <si>
    <t>Viagem</t>
  </si>
  <si>
    <t>Data</t>
  </si>
  <si>
    <t>Receita/Despesa</t>
  </si>
  <si>
    <t>Categoria</t>
  </si>
  <si>
    <t>Subcategoria</t>
  </si>
  <si>
    <t>Conta</t>
  </si>
  <si>
    <t>Descrição</t>
  </si>
  <si>
    <t>ID</t>
  </si>
  <si>
    <t>Moradia</t>
  </si>
  <si>
    <t>Alimentação</t>
  </si>
  <si>
    <t>Lazer</t>
  </si>
  <si>
    <t>Dinheiro</t>
  </si>
  <si>
    <t>Mercado</t>
  </si>
  <si>
    <t>Despesa</t>
  </si>
  <si>
    <t>Ida ao shopping</t>
  </si>
  <si>
    <t>Receita</t>
  </si>
  <si>
    <t>Salário</t>
  </si>
  <si>
    <t>Transferência</t>
  </si>
  <si>
    <t>Salário Janeiro</t>
  </si>
  <si>
    <t>Pix</t>
  </si>
  <si>
    <t>Compra no Assaí</t>
  </si>
  <si>
    <t>Salário Fevereiro</t>
  </si>
  <si>
    <t>Transporte</t>
  </si>
  <si>
    <t>Combustível</t>
  </si>
  <si>
    <t>Posto Shell</t>
  </si>
  <si>
    <t>Salário Março</t>
  </si>
  <si>
    <t>Cinema</t>
  </si>
  <si>
    <t>Cinema com amigos</t>
  </si>
  <si>
    <t>Salário Abril</t>
  </si>
  <si>
    <t>Energia</t>
  </si>
  <si>
    <t>Conta de energia</t>
  </si>
  <si>
    <t>Salário Maio</t>
  </si>
  <si>
    <t>Saúde</t>
  </si>
  <si>
    <t>Farmácia</t>
  </si>
  <si>
    <t>Compra de medicamentos</t>
  </si>
  <si>
    <t>Salário Junho</t>
  </si>
  <si>
    <t>Restaurante</t>
  </si>
  <si>
    <t>Jantar</t>
  </si>
  <si>
    <t>Salário Julho</t>
  </si>
  <si>
    <t>Uber</t>
  </si>
  <si>
    <t>Salário Agosto</t>
  </si>
  <si>
    <t>Educação</t>
  </si>
  <si>
    <t>Cursos</t>
  </si>
  <si>
    <t>Curso Power BI</t>
  </si>
  <si>
    <t>Salário Setembro</t>
  </si>
  <si>
    <t>Hotel fim de semana</t>
  </si>
  <si>
    <t>Salário Outubro</t>
  </si>
  <si>
    <t>Internet</t>
  </si>
  <si>
    <t>Conta Vivo Fibra</t>
  </si>
  <si>
    <t>Salário Novembro</t>
  </si>
  <si>
    <t>Compras</t>
  </si>
  <si>
    <t>Roupas</t>
  </si>
  <si>
    <t>Tênis novo</t>
  </si>
  <si>
    <t>Salário Dezembro</t>
  </si>
  <si>
    <t>Presentes</t>
  </si>
  <si>
    <t>Natal</t>
  </si>
  <si>
    <t>Presentes de Natal</t>
  </si>
  <si>
    <t>Forma de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</si>
</sst>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2" formatCode="_-&quot;R$&quot;\ * #,##0_-;\-&quot;R$&quot;\ * #,##0_-;_-&quot;R$&quot;\ * &quot;-&quot;_-;_-@_-"/>
    <numFmt numFmtId="164" formatCode="_(* #,##0_);_(* \(#,##0\);_(* &quot;-&quot;_);_(@_)"/>
    <numFmt numFmtId="165" formatCode="_(* #,##0.00_);_(* \(#,##0.00\);_(* &quot;-&quot;??_);_(@_)"/>
    <numFmt numFmtId="166" formatCode="&quot;R$&quot;\ #,##0.00"/>
    <numFmt numFmtId="167" formatCode="&quot;R$&quot;\ #,##0.00;[Red]&quot;R$&quot;\ #,##0.00"/>
    <numFmt numFmtId="168" formatCode="_-[$R$-416]\ * #,##0.00_-;\-[$R$-416]\ * #,##0.00_-;_-[$R$-416]\ * &quot;-&quot;??_-;_-@_-"/>
    <numFmt numFmtId="169" formatCode="[$R$-416]\ #,##0.00"/>
  </numFmts>
  <fonts count="32" x14ac:knownFonts="1">
    <font>
      <sz val="11"/>
      <color theme="1" tint="0.2499465926084170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4"/>
      <name val="Calibri"/>
      <family val="2"/>
      <scheme val="major"/>
    </font>
    <font>
      <b/>
      <sz val="11"/>
      <color theme="4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4"/>
      <color theme="3"/>
      <name val="Calibri"/>
      <family val="2"/>
      <scheme val="major"/>
    </font>
    <font>
      <sz val="11"/>
      <color theme="1" tint="0.2499465926084170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6"/>
      <name val="Yu Gothic"/>
      <family val="2"/>
      <charset val="128"/>
    </font>
    <font>
      <b/>
      <sz val="10"/>
      <color theme="0"/>
      <name val="Amasis MT Pro"/>
      <family val="34"/>
    </font>
    <font>
      <b/>
      <sz val="28"/>
      <name val="Calibri"/>
      <family val="2"/>
      <scheme val="major"/>
    </font>
    <font>
      <b/>
      <sz val="10"/>
      <color theme="1"/>
      <name val="Amasis MT Pro"/>
      <family val="34"/>
    </font>
    <font>
      <b/>
      <sz val="14"/>
      <color theme="1"/>
      <name val="Calibri"/>
      <family val="2"/>
      <scheme val="major"/>
    </font>
    <font>
      <sz val="11"/>
      <name val="Calibri"/>
      <family val="2"/>
      <scheme val="minor"/>
    </font>
    <font>
      <u/>
      <sz val="11"/>
      <color theme="1" tint="0.2499465926084170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1" tint="0.24994659260841701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5"/>
      </top>
      <bottom/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7">
    <xf numFmtId="0" fontId="0" fillId="0" borderId="0">
      <alignment vertical="center" wrapText="1"/>
    </xf>
    <xf numFmtId="0" fontId="3" fillId="0" borderId="0" applyNumberFormat="0" applyFill="0" applyBorder="0" applyAlignment="0" applyProtection="0"/>
    <xf numFmtId="0" fontId="6" fillId="0" borderId="0" applyNumberFormat="0" applyFill="0" applyAlignment="0" applyProtection="0"/>
    <xf numFmtId="166" fontId="5" fillId="2" borderId="0" applyProtection="0">
      <alignment horizontal="right"/>
    </xf>
    <xf numFmtId="0" fontId="4" fillId="0" borderId="0" applyNumberFormat="0" applyFill="0" applyAlignment="0" applyProtection="0"/>
    <xf numFmtId="167" fontId="7" fillId="0" borderId="0" applyFont="0" applyFill="0" applyBorder="0" applyProtection="0">
      <alignment horizontal="right" vertical="center"/>
    </xf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1" applyNumberFormat="0" applyAlignment="0" applyProtection="0"/>
    <xf numFmtId="0" fontId="13" fillId="7" borderId="2" applyNumberFormat="0" applyAlignment="0" applyProtection="0"/>
    <xf numFmtId="0" fontId="14" fillId="7" borderId="1" applyNumberFormat="0" applyAlignment="0" applyProtection="0"/>
    <xf numFmtId="0" fontId="15" fillId="0" borderId="3" applyNumberFormat="0" applyFill="0" applyAlignment="0" applyProtection="0"/>
    <xf numFmtId="0" fontId="16" fillId="8" borderId="4" applyNumberFormat="0" applyAlignment="0" applyProtection="0"/>
    <xf numFmtId="0" fontId="17" fillId="0" borderId="0" applyNumberFormat="0" applyFill="0" applyBorder="0" applyAlignment="0" applyProtection="0"/>
    <xf numFmtId="0" fontId="7" fillId="9" borderId="5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0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0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0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0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0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</cellStyleXfs>
  <cellXfs count="72">
    <xf numFmtId="0" fontId="0" fillId="0" borderId="0" xfId="0">
      <alignment vertical="center" wrapText="1"/>
    </xf>
    <xf numFmtId="0" fontId="0" fillId="0" borderId="0" xfId="0" applyAlignment="1"/>
    <xf numFmtId="0" fontId="0" fillId="0" borderId="0" xfId="0" applyAlignment="1">
      <alignment horizontal="left" vertical="center" wrapText="1"/>
    </xf>
    <xf numFmtId="0" fontId="3" fillId="0" borderId="0" xfId="1" applyAlignment="1">
      <alignment horizontal="left" vertical="center"/>
    </xf>
    <xf numFmtId="0" fontId="6" fillId="0" borderId="0" xfId="2" applyAlignment="1">
      <alignment horizontal="lef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7" fontId="0" fillId="0" borderId="0" xfId="5" applyFont="1" applyFill="1" applyBorder="1">
      <alignment horizontal="right" vertical="center"/>
    </xf>
    <xf numFmtId="167" fontId="0" fillId="0" borderId="0" xfId="5" applyFont="1">
      <alignment horizontal="right" vertical="center"/>
    </xf>
    <xf numFmtId="166" fontId="0" fillId="0" borderId="0" xfId="0" applyNumberFormat="1" applyAlignment="1">
      <alignment horizontal="right" vertical="center"/>
    </xf>
    <xf numFmtId="166" fontId="22" fillId="2" borderId="7" xfId="3" applyFont="1" applyBorder="1" applyAlignment="1">
      <alignment horizontal="center" vertical="center" wrapText="1"/>
    </xf>
    <xf numFmtId="167" fontId="0" fillId="0" borderId="0" xfId="5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 wrapText="1"/>
    </xf>
    <xf numFmtId="167" fontId="0" fillId="0" borderId="0" xfId="0" applyNumberFormat="1" applyAlignment="1">
      <alignment horizontal="right" vertical="center"/>
    </xf>
    <xf numFmtId="167" fontId="0" fillId="0" borderId="0" xfId="0" applyNumberFormat="1">
      <alignment vertical="center" wrapText="1"/>
    </xf>
    <xf numFmtId="0" fontId="23" fillId="0" borderId="0" xfId="1" applyFont="1" applyAlignment="1">
      <alignment horizontal="left" vertical="center"/>
    </xf>
    <xf numFmtId="166" fontId="24" fillId="34" borderId="7" xfId="3" applyFont="1" applyFill="1" applyBorder="1" applyAlignment="1">
      <alignment horizontal="center" vertical="center" wrapText="1"/>
    </xf>
    <xf numFmtId="0" fontId="25" fillId="34" borderId="0" xfId="2" applyFont="1" applyFill="1" applyAlignment="1">
      <alignment horizontal="left"/>
    </xf>
    <xf numFmtId="0" fontId="26" fillId="0" borderId="0" xfId="0" applyFont="1">
      <alignment vertical="center" wrapText="1"/>
    </xf>
    <xf numFmtId="167" fontId="0" fillId="0" borderId="0" xfId="0" applyNumberFormat="1" applyAlignment="1">
      <alignment horizontal="left" vertical="center" wrapText="1"/>
    </xf>
    <xf numFmtId="0" fontId="19" fillId="34" borderId="8" xfId="0" applyFont="1" applyFill="1" applyBorder="1" applyAlignment="1">
      <alignment horizontal="left" vertical="center" wrapText="1"/>
    </xf>
    <xf numFmtId="0" fontId="19" fillId="34" borderId="9" xfId="0" applyFont="1" applyFill="1" applyBorder="1" applyAlignment="1">
      <alignment horizontal="left" vertical="center" wrapText="1"/>
    </xf>
    <xf numFmtId="167" fontId="19" fillId="34" borderId="9" xfId="5" applyFont="1" applyFill="1" applyBorder="1">
      <alignment horizontal="right" vertical="center"/>
    </xf>
    <xf numFmtId="0" fontId="19" fillId="34" borderId="0" xfId="0" applyFont="1" applyFill="1" applyAlignment="1">
      <alignment horizontal="left" vertical="center" wrapText="1"/>
    </xf>
    <xf numFmtId="167" fontId="7" fillId="0" borderId="0" xfId="0" applyNumberFormat="1" applyFont="1" applyAlignment="1">
      <alignment horizontal="right" vertical="center"/>
    </xf>
    <xf numFmtId="166" fontId="0" fillId="0" borderId="0" xfId="0" applyNumberFormat="1">
      <alignment vertical="center" wrapText="1"/>
    </xf>
    <xf numFmtId="0" fontId="27" fillId="0" borderId="0" xfId="0" applyFont="1" applyAlignment="1">
      <alignment horizontal="left" vertical="center"/>
    </xf>
    <xf numFmtId="0" fontId="27" fillId="0" borderId="0" xfId="0" applyFont="1">
      <alignment vertical="center" wrapText="1"/>
    </xf>
    <xf numFmtId="166" fontId="0" fillId="0" borderId="0" xfId="0" applyNumberFormat="1" applyAlignment="1">
      <alignment horizontal="right" vertical="center" wrapText="1"/>
    </xf>
    <xf numFmtId="0" fontId="28" fillId="0" borderId="0" xfId="0" applyFont="1">
      <alignment vertical="center" wrapText="1"/>
    </xf>
    <xf numFmtId="166" fontId="28" fillId="0" borderId="0" xfId="0" applyNumberFormat="1" applyFont="1">
      <alignment vertical="center" wrapText="1"/>
    </xf>
    <xf numFmtId="167" fontId="0" fillId="34" borderId="0" xfId="5" applyFont="1" applyFill="1" applyAlignment="1">
      <alignment horizontal="center" vertical="center"/>
    </xf>
    <xf numFmtId="166" fontId="16" fillId="35" borderId="4" xfId="18" applyNumberFormat="1" applyFill="1" applyAlignment="1">
      <alignment horizontal="center" vertical="center" wrapText="1"/>
    </xf>
    <xf numFmtId="0" fontId="16" fillId="35" borderId="4" xfId="18" applyFill="1" applyAlignment="1">
      <alignment horizontal="center" vertical="center" wrapText="1"/>
    </xf>
    <xf numFmtId="0" fontId="16" fillId="35" borderId="10" xfId="18" applyFill="1" applyBorder="1" applyAlignment="1">
      <alignment horizontal="center" vertical="center" wrapText="1"/>
    </xf>
    <xf numFmtId="0" fontId="16" fillId="36" borderId="11" xfId="0" applyFont="1" applyFill="1" applyBorder="1" applyAlignment="1">
      <alignment horizontal="center" vertical="center" wrapText="1"/>
    </xf>
    <xf numFmtId="167" fontId="16" fillId="36" borderId="11" xfId="0" applyNumberFormat="1" applyFont="1" applyFill="1" applyBorder="1" applyAlignment="1">
      <alignment horizontal="center" vertical="center" wrapText="1"/>
    </xf>
    <xf numFmtId="0" fontId="16" fillId="37" borderId="11" xfId="0" applyFont="1" applyFill="1" applyBorder="1" applyAlignment="1">
      <alignment horizontal="center" vertical="center" wrapText="1"/>
    </xf>
    <xf numFmtId="166" fontId="16" fillId="37" borderId="11" xfId="0" applyNumberFormat="1" applyFont="1" applyFill="1" applyBorder="1" applyAlignment="1">
      <alignment horizontal="center" vertical="center" wrapText="1"/>
    </xf>
    <xf numFmtId="167" fontId="16" fillId="36" borderId="0" xfId="5" applyFont="1" applyFill="1" applyAlignment="1">
      <alignment horizontal="center" vertical="center"/>
    </xf>
    <xf numFmtId="167" fontId="16" fillId="38" borderId="0" xfId="5" applyFont="1" applyFill="1" applyAlignment="1">
      <alignment horizontal="center" vertical="center"/>
    </xf>
    <xf numFmtId="167" fontId="16" fillId="39" borderId="0" xfId="0" applyNumberFormat="1" applyFont="1" applyFill="1" applyAlignment="1">
      <alignment horizontal="center" vertical="center" wrapText="1"/>
    </xf>
    <xf numFmtId="17" fontId="0" fillId="0" borderId="0" xfId="0" applyNumberFormat="1" applyAlignment="1">
      <alignment horizontal="center" vertical="center" wrapText="1"/>
    </xf>
    <xf numFmtId="167" fontId="7" fillId="0" borderId="0" xfId="5" applyFont="1">
      <alignment horizontal="right" vertical="center"/>
    </xf>
    <xf numFmtId="16" fontId="0" fillId="0" borderId="0" xfId="0" applyNumberFormat="1">
      <alignment vertical="center" wrapText="1"/>
    </xf>
    <xf numFmtId="166" fontId="16" fillId="40" borderId="4" xfId="18" applyNumberFormat="1" applyFill="1" applyAlignment="1">
      <alignment horizontal="center" vertical="center" wrapText="1"/>
    </xf>
    <xf numFmtId="168" fontId="0" fillId="0" borderId="0" xfId="0" applyNumberFormat="1">
      <alignment vertical="center" wrapText="1"/>
    </xf>
    <xf numFmtId="167" fontId="16" fillId="35" borderId="0" xfId="5" applyFont="1" applyFill="1" applyAlignment="1">
      <alignment horizontal="center" vertical="center"/>
    </xf>
    <xf numFmtId="167" fontId="30" fillId="35" borderId="0" xfId="5" applyFont="1" applyFill="1" applyAlignment="1">
      <alignment horizontal="center" vertical="center"/>
    </xf>
    <xf numFmtId="14" fontId="0" fillId="0" borderId="0" xfId="0" applyNumberFormat="1">
      <alignment vertical="center" wrapText="1"/>
    </xf>
    <xf numFmtId="167" fontId="1" fillId="34" borderId="0" xfId="5" applyFont="1" applyFill="1">
      <alignment horizontal="right" vertical="center"/>
    </xf>
    <xf numFmtId="0" fontId="1" fillId="34" borderId="0" xfId="0" applyFont="1" applyFill="1" applyAlignment="1">
      <alignment horizontal="left" vertical="center" wrapText="1"/>
    </xf>
    <xf numFmtId="167" fontId="1" fillId="34" borderId="0" xfId="5" applyFont="1" applyFill="1" applyBorder="1">
      <alignment horizontal="right" vertical="center"/>
    </xf>
    <xf numFmtId="166" fontId="1" fillId="34" borderId="0" xfId="5" applyNumberFormat="1" applyFont="1" applyFill="1">
      <alignment horizontal="right" vertical="center"/>
    </xf>
    <xf numFmtId="0" fontId="1" fillId="34" borderId="0" xfId="0" applyFont="1" applyFill="1" applyAlignment="1">
      <alignment horizontal="right" vertical="center"/>
    </xf>
    <xf numFmtId="0" fontId="1" fillId="34" borderId="0" xfId="0" applyFont="1" applyFill="1" applyAlignment="1">
      <alignment horizontal="center" vertical="center"/>
    </xf>
    <xf numFmtId="0" fontId="1" fillId="34" borderId="0" xfId="0" applyFont="1" applyFill="1" applyAlignment="1">
      <alignment horizontal="left"/>
    </xf>
    <xf numFmtId="0" fontId="1" fillId="34" borderId="0" xfId="0" applyFont="1" applyFill="1" applyAlignment="1">
      <alignment horizontal="right"/>
    </xf>
    <xf numFmtId="167" fontId="1" fillId="34" borderId="0" xfId="0" applyNumberFormat="1" applyFont="1" applyFill="1" applyAlignment="1">
      <alignment horizontal="right" vertical="center"/>
    </xf>
    <xf numFmtId="166" fontId="1" fillId="34" borderId="0" xfId="0" applyNumberFormat="1" applyFont="1" applyFill="1" applyAlignment="1">
      <alignment horizontal="right" vertical="center"/>
    </xf>
    <xf numFmtId="169" fontId="1" fillId="34" borderId="0" xfId="5" applyNumberFormat="1" applyFont="1" applyFill="1" applyBorder="1">
      <alignment horizontal="right" vertical="center"/>
    </xf>
    <xf numFmtId="0" fontId="1" fillId="34" borderId="0" xfId="0" applyFont="1" applyFill="1" applyAlignment="1">
      <alignment horizontal="center"/>
    </xf>
    <xf numFmtId="166" fontId="1" fillId="34" borderId="0" xfId="5" applyNumberFormat="1" applyFont="1" applyFill="1" applyBorder="1">
      <alignment horizontal="right" vertical="center"/>
    </xf>
    <xf numFmtId="167" fontId="1" fillId="34" borderId="8" xfId="5" applyFont="1" applyFill="1" applyBorder="1">
      <alignment horizontal="right" vertical="center"/>
    </xf>
    <xf numFmtId="166" fontId="1" fillId="34" borderId="8" xfId="5" applyNumberFormat="1" applyFont="1" applyFill="1" applyBorder="1">
      <alignment horizontal="right" vertical="center"/>
    </xf>
    <xf numFmtId="0" fontId="0" fillId="0" borderId="0" xfId="0" applyAlignment="1">
      <alignment horizontal="center" vertical="center" wrapText="1"/>
    </xf>
    <xf numFmtId="0" fontId="0" fillId="34" borderId="0" xfId="0" applyFill="1" applyAlignment="1">
      <alignment horizontal="center" vertical="center" wrapText="1"/>
    </xf>
    <xf numFmtId="0" fontId="0" fillId="34" borderId="0" xfId="0" applyFill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</cellXfs>
  <cellStyles count="47">
    <cellStyle name="20% - Ênfase1" xfId="24" builtinId="30" customBuiltin="1"/>
    <cellStyle name="20% - Ênfase2" xfId="28" builtinId="34" customBuiltin="1"/>
    <cellStyle name="20% - Ênfase3" xfId="32" builtinId="38" customBuiltin="1"/>
    <cellStyle name="20% - Ênfase4" xfId="36" builtinId="42" customBuiltin="1"/>
    <cellStyle name="20% - Ênfase5" xfId="40" builtinId="46" customBuiltin="1"/>
    <cellStyle name="20% - Ênfase6" xfId="44" builtinId="50" customBuiltin="1"/>
    <cellStyle name="40% - Ênfase1" xfId="25" builtinId="31" customBuiltin="1"/>
    <cellStyle name="40% - Ênfase2" xfId="29" builtinId="35" customBuiltin="1"/>
    <cellStyle name="40% - Ênfase3" xfId="33" builtinId="39" customBuiltin="1"/>
    <cellStyle name="40% - Ênfase4" xfId="37" builtinId="43" customBuiltin="1"/>
    <cellStyle name="40% - Ênfase5" xfId="41" builtinId="47" customBuiltin="1"/>
    <cellStyle name="40% - Ênfase6" xfId="45" builtinId="51" customBuiltin="1"/>
    <cellStyle name="60% - Ênfase1" xfId="26" builtinId="32" customBuiltin="1"/>
    <cellStyle name="60% - Ênfase2" xfId="30" builtinId="36" customBuiltin="1"/>
    <cellStyle name="60% - Ênfase3" xfId="34" builtinId="40" customBuiltin="1"/>
    <cellStyle name="60% - Ênfase4" xfId="38" builtinId="44" customBuiltin="1"/>
    <cellStyle name="60% - Ênfase5" xfId="42" builtinId="48" customBuiltin="1"/>
    <cellStyle name="60% - Ênfase6" xfId="46" builtinId="52" customBuiltin="1"/>
    <cellStyle name="Bom" xfId="11" builtinId="26" customBuiltin="1"/>
    <cellStyle name="Cálculo" xfId="16" builtinId="22" customBuiltin="1"/>
    <cellStyle name="Célula de Verificação" xfId="18" builtinId="23" customBuiltin="1"/>
    <cellStyle name="Célula Vinculada" xfId="17" builtinId="24" customBuiltin="1"/>
    <cellStyle name="Ênfase1" xfId="23" builtinId="29" customBuiltin="1"/>
    <cellStyle name="Ênfase2" xfId="27" builtinId="33" customBuiltin="1"/>
    <cellStyle name="Ênfase3" xfId="31" builtinId="37" customBuiltin="1"/>
    <cellStyle name="Ênfase4" xfId="35" builtinId="41" customBuiltin="1"/>
    <cellStyle name="Ênfase5" xfId="39" builtinId="45" customBuiltin="1"/>
    <cellStyle name="Ênfase6" xfId="43" builtinId="49" customBuiltin="1"/>
    <cellStyle name="Entrada" xfId="14" builtinId="20" customBuiltin="1"/>
    <cellStyle name="Moeda" xfId="5" builtinId="4" customBuiltin="1"/>
    <cellStyle name="Moeda [0]" xfId="8" builtinId="7" customBuiltin="1"/>
    <cellStyle name="Neutro" xfId="13" builtinId="28" customBuiltin="1"/>
    <cellStyle name="Normal" xfId="0" builtinId="0" customBuiltin="1"/>
    <cellStyle name="Nota" xfId="20" builtinId="10" customBuiltin="1"/>
    <cellStyle name="Porcentagem" xfId="9" builtinId="5" customBuiltin="1"/>
    <cellStyle name="Ruim" xfId="12" builtinId="27" customBuiltin="1"/>
    <cellStyle name="Saída" xfId="15" builtinId="21" customBuiltin="1"/>
    <cellStyle name="Separador de milhares [0]" xfId="7" builtinId="6" customBuiltin="1"/>
    <cellStyle name="Texto de Aviso" xfId="19" builtinId="11" customBuiltin="1"/>
    <cellStyle name="Texto Explicativo" xfId="21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10" builtinId="19" customBuiltin="1"/>
    <cellStyle name="Total" xfId="22" builtinId="25" customBuiltin="1"/>
    <cellStyle name="Vírgula" xfId="6" builtinId="3" customBuiltin="1"/>
  </cellStyles>
  <dxfs count="3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</dxf>
    <dxf>
      <alignment horizontal="left" vertical="center" textRotation="0" wrapText="1" indent="0" justifyLastLine="0" shrinkToFit="0" readingOrder="0"/>
    </dxf>
    <dxf>
      <numFmt numFmtId="167" formatCode="&quot;R$&quot;\ #,##0.00;[Red]&quot;R$&quot;\ #,##0.00"/>
      <alignment horizontal="righ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167" formatCode="&quot;R$&quot;\ #,##0.00;[Red]&quot;R$&quot;\ #,##0.00"/>
      <alignment horizontal="righ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</dxf>
    <dxf>
      <alignment horizontal="left" vertical="center" textRotation="0" wrapText="1" indent="0" justifyLastLine="0" shrinkToFit="0" readingOrder="0"/>
    </dxf>
    <dxf>
      <numFmt numFmtId="167" formatCode="&quot;R$&quot;\ #,##0.00;[Red]&quot;R$&quot;\ #,##0.00"/>
      <alignment horizontal="righ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</dxf>
    <dxf>
      <alignment horizontal="left" vertical="center" textRotation="0" wrapText="1" indent="0" justifyLastLine="0" shrinkToFit="0" readingOrder="0"/>
    </dxf>
    <dxf>
      <numFmt numFmtId="167" formatCode="&quot;R$&quot;\ #,##0.00;[Red]&quot;R$&quot;\ #,##0.00"/>
      <alignment horizontal="righ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</dxf>
    <dxf>
      <alignment horizontal="left" vertical="center" textRotation="0" wrapText="1" indent="0" justifyLastLine="0" shrinkToFit="0" readingOrder="0"/>
    </dxf>
    <dxf>
      <numFmt numFmtId="167" formatCode="&quot;R$&quot;\ #,##0.00;[Red]&quot;R$&quot;\ #,##0.00"/>
      <alignment horizontal="righ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</dxf>
    <dxf>
      <alignment horizontal="left" vertical="center" textRotation="0" wrapText="1" indent="0" justifyLastLine="0" shrinkToFit="0" readingOrder="0"/>
    </dxf>
    <dxf>
      <numFmt numFmtId="167" formatCode="&quot;R$&quot;\ #,##0.00;[Red]&quot;R$&quot;\ #,##0.00"/>
      <alignment horizontal="righ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</dxf>
    <dxf>
      <alignment horizontal="left" vertical="center" textRotation="0" wrapText="1" indent="0" justifyLastLine="0" shrinkToFit="0" readingOrder="0"/>
    </dxf>
    <dxf>
      <numFmt numFmtId="167" formatCode="&quot;R$&quot;\ #,##0.00;[Red]&quot;R$&quot;\ #,##0.00"/>
      <alignment horizontal="righ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</dxf>
    <dxf>
      <alignment horizontal="left" vertical="center" textRotation="0" wrapText="1" indent="0" justifyLastLine="0" shrinkToFit="0" readingOrder="0"/>
    </dxf>
    <dxf>
      <numFmt numFmtId="167" formatCode="&quot;R$&quot;\ #,##0.00;[Red]&quot;R$&quot;\ #,##0.00"/>
      <alignment horizontal="righ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  <numFmt numFmtId="167" formatCode="&quot;R$&quot;\ #,##0.00;[Red]&quot;R$&quot;\ #,##0.00"/>
      <alignment horizontal="righ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167" formatCode="&quot;R$&quot;\ #,##0.00;[Red]&quot;R$&quot;\ #,##0.00"/>
      <alignment horizontal="righ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  <numFmt numFmtId="167" formatCode="&quot;R$&quot;\ #,##0.00;[Red]&quot;R$&quot;\ #,##0.00"/>
      <alignment horizontal="righ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167" formatCode="&quot;R$&quot;\ #,##0.00;[Red]&quot;R$&quot;\ #,##0.00"/>
      <alignment horizontal="righ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  <numFmt numFmtId="167" formatCode="&quot;R$&quot;\ #,##0.00;[Red]&quot;R$&quot;\ #,##0.00"/>
      <alignment horizontal="righ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167" formatCode="&quot;R$&quot;\ #,##0.00;[Red]&quot;R$&quot;\ #,##0.00"/>
      <alignment horizontal="righ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  <numFmt numFmtId="167" formatCode="&quot;R$&quot;\ #,##0.00;[Red]&quot;R$&quot;\ #,##0.00"/>
      <alignment horizontal="righ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167" formatCode="&quot;R$&quot;\ #,##0.00;[Red]&quot;R$&quot;\ #,##0.00"/>
      <alignment horizontal="righ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  <numFmt numFmtId="167" formatCode="&quot;R$&quot;\ #,##0.00;[Red]&quot;R$&quot;\ #,##0.00"/>
      <alignment horizontal="righ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</dxf>
    <dxf>
      <alignment horizontal="left" vertical="center" textRotation="0" wrapText="1" indent="0" justifyLastLine="0" shrinkToFit="0" readingOrder="0"/>
    </dxf>
    <dxf>
      <numFmt numFmtId="167" formatCode="&quot;R$&quot;\ #,##0.00;[Red]&quot;R$&quot;\ #,##0.00"/>
      <alignment horizontal="righ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</dxf>
    <dxf>
      <alignment horizontal="left" vertical="center" textRotation="0" wrapText="1" indent="0" justifyLastLine="0" shrinkToFit="0" readingOrder="0"/>
    </dxf>
    <dxf>
      <numFmt numFmtId="167" formatCode="&quot;R$&quot;\ #,##0.00;[Red]&quot;R$&quot;\ #,##0.00"/>
      <alignment horizontal="righ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</dxf>
    <dxf>
      <alignment horizontal="left" vertical="center" textRotation="0" wrapText="1" indent="0" justifyLastLine="0" shrinkToFit="0" readingOrder="0"/>
    </dxf>
    <dxf>
      <numFmt numFmtId="167" formatCode="&quot;R$&quot;\ #,##0.00;[Red]&quot;R$&quot;\ #,##0.00"/>
      <alignment horizontal="righ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</dxf>
    <dxf>
      <alignment horizontal="left" vertical="center" textRotation="0" wrapText="1" indent="0" justifyLastLine="0" shrinkToFit="0" readingOrder="0"/>
    </dxf>
    <dxf>
      <numFmt numFmtId="167" formatCode="&quot;R$&quot;\ #,##0.00;[Red]&quot;R$&quot;\ #,##0.00"/>
      <alignment horizontal="righ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</dxf>
    <dxf>
      <alignment horizontal="left" vertical="center" textRotation="0" wrapText="1" indent="0" justifyLastLine="0" shrinkToFit="0" readingOrder="0"/>
    </dxf>
    <dxf>
      <numFmt numFmtId="167" formatCode="&quot;R$&quot;\ #,##0.00;[Red]&quot;R$&quot;\ #,##0.00"/>
      <alignment horizontal="righ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</dxf>
    <dxf>
      <alignment horizontal="left" vertical="center" textRotation="0" wrapText="1" indent="0" justifyLastLine="0" shrinkToFit="0" readingOrder="0"/>
    </dxf>
    <dxf>
      <numFmt numFmtId="167" formatCode="&quot;R$&quot;\ #,##0.00;[Red]&quot;R$&quot;\ #,##0.00"/>
      <alignment horizontal="righ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</dxf>
    <dxf>
      <alignment horizontal="left" vertical="center" textRotation="0" wrapText="1" indent="0" justifyLastLine="0" shrinkToFit="0" readingOrder="0"/>
    </dxf>
    <dxf>
      <numFmt numFmtId="167" formatCode="&quot;R$&quot;\ #,##0.00;[Red]&quot;R$&quot;\ #,##0.00"/>
      <alignment horizontal="righ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  <numFmt numFmtId="167" formatCode="&quot;R$&quot;\ #,##0.00;[Red]&quot;R$&quot;\ #,##0.00"/>
      <alignment horizontal="righ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167" formatCode="&quot;R$&quot;\ #,##0.00;[Red]&quot;R$&quot;\ #,##0.00"/>
      <alignment horizontal="righ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  <numFmt numFmtId="167" formatCode="&quot;R$&quot;\ #,##0.00;[Red]&quot;R$&quot;\ #,##0.00"/>
      <alignment horizontal="righ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167" formatCode="&quot;R$&quot;\ #,##0.00;[Red]&quot;R$&quot;\ #,##0.00"/>
      <alignment horizontal="righ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  <numFmt numFmtId="167" formatCode="&quot;R$&quot;\ #,##0.00;[Red]&quot;R$&quot;\ #,##0.00"/>
      <alignment horizontal="righ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167" formatCode="&quot;R$&quot;\ #,##0.00;[Red]&quot;R$&quot;\ #,##0.00"/>
      <alignment horizontal="righ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  <numFmt numFmtId="167" formatCode="&quot;R$&quot;\ #,##0.00;[Red]&quot;R$&quot;\ #,##0.00"/>
      <alignment horizontal="righ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167" formatCode="&quot;R$&quot;\ #,##0.00;[Red]&quot;R$&quot;\ #,##0.00"/>
      <alignment horizontal="righ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  <numFmt numFmtId="167" formatCode="&quot;R$&quot;\ #,##0.00;[Red]&quot;R$&quot;\ #,##0.00"/>
      <alignment horizontal="righ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  <border diagonalUp="0" diagonalDown="0" outline="0">
        <left/>
        <right/>
        <top/>
        <bottom/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7" formatCode="&quot;R$&quot;\ #,##0.00;[Red]&quot;R$&quot;\ #,##0.00"/>
      <fill>
        <patternFill patternType="solid">
          <fgColor indexed="64"/>
          <bgColor theme="1" tint="4.9989318521683403E-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7" formatCode="&quot;R$&quot;\ #,##0.00;[Red]&quot;R$&quot;\ #,##0.00"/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  <border diagonalUp="0" diagonalDown="0" outline="0">
        <left/>
        <right/>
        <top/>
        <bottom/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  <border diagonalUp="0" diagonalDown="0" outline="0">
        <left/>
        <right/>
        <top/>
        <bottom/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  <border diagonalUp="0" diagonalDown="0" outline="0">
        <left/>
        <right/>
        <top/>
        <bottom/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  <border diagonalUp="0" diagonalDown="0" outline="0">
        <left/>
        <right/>
        <top/>
        <bottom/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  <border diagonalUp="0" diagonalDown="0" outline="0">
        <left/>
        <right/>
        <top/>
        <bottom/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7" formatCode="&quot;R$&quot;\ #,##0.00;[Red]&quot;R$&quot;\ #,##0.00"/>
      <fill>
        <patternFill patternType="solid">
          <fgColor indexed="64"/>
          <bgColor rgb="FFC00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7" formatCode="&quot;R$&quot;\ #,##0.00;[Red]&quot;R$&quot;\ #,##0.00"/>
      <fill>
        <patternFill patternType="solid">
          <fgColor indexed="64"/>
          <bgColor rgb="FFC00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&quot;R$&quot;\ #,##0.0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strike val="0"/>
        <outline val="0"/>
        <shadow val="0"/>
        <u val="none"/>
        <vertAlign val="baseline"/>
        <color theme="1"/>
      </font>
      <numFmt numFmtId="166" formatCode="&quot;R$&quot;\ #,##0.00"/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strike val="0"/>
        <outline val="0"/>
        <shadow val="0"/>
        <u val="none"/>
        <vertAlign val="baseline"/>
        <color theme="1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strike val="0"/>
        <outline val="0"/>
        <shadow val="0"/>
        <u val="none"/>
        <vertAlign val="baseline"/>
        <color theme="1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b/>
      </font>
      <alignment wrapText="1"/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&quot;R$&quot;\ #,##0.00;[Red]&quot;R$&quot;\ #,##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&quot;R$&quot;\ #,##0.00;[Red]&quot;R$&quot;\ #,##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&quot;R$&quot;\ #,##0.00;[Red]&quot;R$&quot;\ #,##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&quot;R$&quot;\ #,##0.00;[Red]&quot;R$&quot;\ #,##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&quot;R$&quot;\ #,##0.00;[Red]&quot;R$&quot;\ #,##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&quot;R$&quot;\ #,##0.00;[Red]&quot;R$&quot;\ #,##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&quot;R$&quot;\ #,##0.00;[Red]&quot;R$&quot;\ #,##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&quot;R$&quot;\ #,##0.00;[Red]&quot;R$&quot;\ #,##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&quot;R$&quot;\ #,##0.00;[Red]&quot;R$&quot;\ #,##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&quot;R$&quot;\ #,##0.00;[Red]&quot;R$&quot;\ #,##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  <alignment horizontal="righ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&quot;R$&quot;\ #,##0.00;[Red]&quot;R$&quot;\ #,##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  <border diagonalUp="0" diagonalDown="0">
        <left/>
        <right/>
        <top/>
        <bottom/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  <border diagonalUp="0" diagonalDown="0">
        <left/>
        <right/>
        <top/>
        <bottom/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  <border diagonalUp="0" diagonalDown="0">
        <left/>
        <right/>
        <top/>
        <bottom/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7" formatCode="&quot;R$&quot;\ #,##0.00;[Red]&quot;R$&quot;\ #,##0.00"/>
      <fill>
        <patternFill patternType="solid">
          <fgColor indexed="64"/>
          <bgColor rgb="FFC00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7" formatCode="&quot;R$&quot;\ #,##0.00;[Red]&quot;R$&quot;\ #,##0.00"/>
      <fill>
        <patternFill patternType="solid">
          <fgColor indexed="64"/>
          <bgColor rgb="FFC00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000000"/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&quot;R$&quot;\ #,##0.00;[Red]&quot;R$&quot;\ #,##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rgb="FF000000"/>
      </font>
      <fill>
        <patternFill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color rgb="FF000000"/>
      </font>
      <fill>
        <patternFill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&quot;R$&quot;\ #,##0.00;[Red]&quot;R$&quot;\ #,##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rgb="FF000000"/>
      </font>
      <fill>
        <patternFill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color rgb="FF000000"/>
      </font>
      <fill>
        <patternFill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&quot;R$&quot;\ #,##0.00;[Red]&quot;R$&quot;\ #,##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rgb="FF000000"/>
      </font>
      <fill>
        <patternFill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color rgb="FF000000"/>
      </font>
      <fill>
        <patternFill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&quot;R$&quot;\ #,##0.00;[Red]&quot;R$&quot;\ #,##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rgb="FF000000"/>
      </font>
      <fill>
        <patternFill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color rgb="FF000000"/>
      </font>
      <fill>
        <patternFill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&quot;R$&quot;\ #,##0.00;[Red]&quot;R$&quot;\ #,##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rgb="FF000000"/>
      </font>
      <fill>
        <patternFill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color rgb="FF000000"/>
      </font>
      <fill>
        <patternFill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&quot;R$&quot;\ #,##0.00;[Red]&quot;R$&quot;\ #,##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rgb="FF000000"/>
      </font>
      <fill>
        <patternFill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color rgb="FF000000"/>
      </font>
      <fill>
        <patternFill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&quot;R$&quot;\ #,##0.00;[Red]&quot;R$&quot;\ #,##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rgb="FF000000"/>
      </font>
      <fill>
        <patternFill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color rgb="FF000000"/>
      </font>
      <fill>
        <patternFill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&quot;R$&quot;\ #,##0.00;[Red]&quot;R$&quot;\ #,##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rgb="FF000000"/>
      </font>
      <fill>
        <patternFill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color rgb="FF000000"/>
      </font>
      <fill>
        <patternFill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&quot;R$&quot;\ #,##0.00;[Red]&quot;R$&quot;\ #,##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rgb="FF000000"/>
      </font>
      <fill>
        <patternFill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color rgb="FF000000"/>
      </font>
      <fill>
        <patternFill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&quot;R$&quot;\ #,##0.00;[Red]&quot;R$&quot;\ #,##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  <alignment horizontal="righ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rgb="FF000000"/>
      </font>
      <fill>
        <patternFill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color rgb="FF000000"/>
      </font>
      <fill>
        <patternFill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&quot;R$&quot;\ #,##0.00;[Red]&quot;R$&quot;\ #,##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rgb="FF000000"/>
      </font>
      <fill>
        <patternFill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color rgb="FF000000"/>
      </font>
      <fill>
        <patternFill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&quot;R$&quot;\ #,##0.00;[Red]&quot;R$&quot;\ #,##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rgb="FF000000"/>
      </font>
      <fill>
        <patternFill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color rgb="FF000000"/>
      </font>
      <fill>
        <patternFill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color theme="3"/>
      </font>
    </dxf>
    <dxf>
      <font>
        <b/>
        <i val="0"/>
        <color theme="3"/>
      </font>
    </dxf>
    <dxf>
      <font>
        <b/>
        <i val="0"/>
        <color theme="3"/>
      </font>
      <fill>
        <patternFill patternType="none">
          <bgColor auto="1"/>
        </patternFill>
      </fill>
      <border diagonalUp="0" diagonalDown="0">
        <left/>
        <right/>
        <top style="thin">
          <color theme="5"/>
        </top>
        <bottom/>
        <vertical/>
        <horizontal/>
      </border>
    </dxf>
    <dxf>
      <font>
        <b/>
        <i val="0"/>
        <color theme="3"/>
      </font>
      <fill>
        <patternFill patternType="none">
          <fgColor indexed="64"/>
          <bgColor auto="1"/>
        </patternFill>
      </fill>
      <border diagonalUp="0" diagonalDown="0">
        <left/>
        <right/>
        <top/>
        <bottom style="thin">
          <color theme="4"/>
        </bottom>
        <vertical/>
        <horizontal/>
      </border>
    </dxf>
    <dxf>
      <font>
        <b val="0"/>
        <i val="0"/>
        <color theme="1" tint="0.34998626667073579"/>
      </font>
      <border diagonalUp="0" diagonalDown="0">
        <left/>
        <right/>
        <top/>
        <bottom/>
        <vertical/>
        <horizontal style="thin">
          <color theme="0" tint="-0.34998626667073579"/>
        </horizontal>
      </border>
    </dxf>
  </dxfs>
  <tableStyles count="1" defaultPivotStyle="PivotStyleLight16">
    <tableStyle name="Lista Calculada" pivot="0" count="5" xr9:uid="{00000000-0011-0000-FFFF-FFFF00000000}">
      <tableStyleElement type="wholeTable" dxfId="327"/>
      <tableStyleElement type="headerRow" dxfId="326"/>
      <tableStyleElement type="totalRow" dxfId="325"/>
      <tableStyleElement type="firstColumn" dxfId="324"/>
      <tableStyleElement type="firstColumnStripe" dxfId="3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53724</xdr:colOff>
      <xdr:row>23</xdr:row>
      <xdr:rowOff>355315</xdr:rowOff>
    </xdr:from>
    <xdr:to>
      <xdr:col>8</xdr:col>
      <xdr:colOff>75400</xdr:colOff>
      <xdr:row>35</xdr:row>
      <xdr:rowOff>273321</xdr:rowOff>
    </xdr:to>
    <xdr:sp macro="" textlink="">
      <xdr:nvSpPr>
        <xdr:cNvPr id="2" name="Coração 1">
          <a:extLst>
            <a:ext uri="{FF2B5EF4-FFF2-40B4-BE49-F238E27FC236}">
              <a16:creationId xmlns:a16="http://schemas.microsoft.com/office/drawing/2014/main" id="{65236ABF-EE1C-C81B-A890-7D8A4C4A4D2B}"/>
            </a:ext>
          </a:extLst>
        </xdr:cNvPr>
        <xdr:cNvSpPr/>
      </xdr:nvSpPr>
      <xdr:spPr>
        <a:xfrm>
          <a:off x="249109" y="9245315"/>
          <a:ext cx="5746445" cy="4490006"/>
        </a:xfrm>
        <a:prstGeom prst="hear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/>
        </a:p>
      </xdr:txBody>
    </xdr:sp>
    <xdr:clientData/>
  </xdr:twoCellAnchor>
  <xdr:twoCellAnchor>
    <xdr:from>
      <xdr:col>2</xdr:col>
      <xdr:colOff>53721</xdr:colOff>
      <xdr:row>27</xdr:row>
      <xdr:rowOff>100845</xdr:rowOff>
    </xdr:from>
    <xdr:to>
      <xdr:col>6</xdr:col>
      <xdr:colOff>565489</xdr:colOff>
      <xdr:row>31</xdr:row>
      <xdr:rowOff>254472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553BE889-84B3-1809-AD04-5FE352753F58}"/>
            </a:ext>
            <a:ext uri="{147F2762-F138-4A5C-976F-8EAC2B608ADB}">
              <a16:predDERef xmlns:a16="http://schemas.microsoft.com/office/drawing/2014/main" pred="{65236ABF-EE1C-C81B-A890-7D8A4C4A4D2B}"/>
            </a:ext>
          </a:extLst>
        </xdr:cNvPr>
        <xdr:cNvSpPr txBox="1"/>
      </xdr:nvSpPr>
      <xdr:spPr>
        <a:xfrm>
          <a:off x="1335502" y="10637840"/>
          <a:ext cx="3358077" cy="1699303"/>
        </a:xfrm>
        <a:prstGeom prst="rect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txBody>
        <a:bodyPr vertOverflow="clip" horzOverflow="clip" wrap="square" rtlCol="0"/>
        <a:lstStyle/>
        <a:p>
          <a:pPr algn="l"/>
          <a:r>
            <a:rPr lang="pt-BR" sz="3200"/>
            <a:t>Te amooooooooo amor da minha vidaaaaaa</a:t>
          </a:r>
        </a:p>
      </xdr:txBody>
    </xdr:sp>
    <xdr:clientData/>
  </xdr:twoCellAnchor>
  <xdr:twoCellAnchor>
    <xdr:from>
      <xdr:col>8</xdr:col>
      <xdr:colOff>541716</xdr:colOff>
      <xdr:row>26</xdr:row>
      <xdr:rowOff>218675</xdr:rowOff>
    </xdr:from>
    <xdr:to>
      <xdr:col>17</xdr:col>
      <xdr:colOff>143647</xdr:colOff>
      <xdr:row>38</xdr:row>
      <xdr:rowOff>136685</xdr:rowOff>
    </xdr:to>
    <xdr:sp macro="" textlink="">
      <xdr:nvSpPr>
        <xdr:cNvPr id="3" name="Coração 2">
          <a:extLst>
            <a:ext uri="{FF2B5EF4-FFF2-40B4-BE49-F238E27FC236}">
              <a16:creationId xmlns:a16="http://schemas.microsoft.com/office/drawing/2014/main" id="{C82010CE-11FD-B740-9C57-F6F02F2311EB}"/>
            </a:ext>
            <a:ext uri="{147F2762-F138-4A5C-976F-8EAC2B608ADB}">
              <a16:predDERef xmlns:a16="http://schemas.microsoft.com/office/drawing/2014/main" pred="{553BE889-84B3-1809-AD04-5FE352753F58}"/>
            </a:ext>
          </a:extLst>
        </xdr:cNvPr>
        <xdr:cNvSpPr/>
      </xdr:nvSpPr>
      <xdr:spPr>
        <a:xfrm>
          <a:off x="6469481" y="11361690"/>
          <a:ext cx="6905256" cy="4549385"/>
        </a:xfrm>
        <a:prstGeom prst="hear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400"/>
            <a:t>Te amo amoooooor da minha vida, minha razão de viverrrrrrrrrrr</a:t>
          </a:r>
        </a:p>
      </xdr:txBody>
    </xdr:sp>
    <xdr:clientData/>
  </xdr:twoCellAnchor>
  <xdr:twoCellAnchor>
    <xdr:from>
      <xdr:col>1</xdr:col>
      <xdr:colOff>161925</xdr:colOff>
      <xdr:row>45</xdr:row>
      <xdr:rowOff>361950</xdr:rowOff>
    </xdr:from>
    <xdr:to>
      <xdr:col>3</xdr:col>
      <xdr:colOff>381000</xdr:colOff>
      <xdr:row>50</xdr:row>
      <xdr:rowOff>247650</xdr:rowOff>
    </xdr:to>
    <xdr:sp macro="" textlink="">
      <xdr:nvSpPr>
        <xdr:cNvPr id="7" name="Coração 1">
          <a:extLst>
            <a:ext uri="{FF2B5EF4-FFF2-40B4-BE49-F238E27FC236}">
              <a16:creationId xmlns:a16="http://schemas.microsoft.com/office/drawing/2014/main" id="{8E445491-052F-A248-85CD-B6A83F433841}"/>
            </a:ext>
            <a:ext uri="{147F2762-F138-4A5C-976F-8EAC2B608ADB}">
              <a16:predDERef xmlns:a16="http://schemas.microsoft.com/office/drawing/2014/main" pred="{C82010CE-11FD-B740-9C57-F6F02F2311EB}"/>
            </a:ext>
          </a:extLst>
        </xdr:cNvPr>
        <xdr:cNvSpPr/>
      </xdr:nvSpPr>
      <xdr:spPr>
        <a:xfrm>
          <a:off x="342900" y="18288000"/>
          <a:ext cx="2266950" cy="1790700"/>
        </a:xfrm>
        <a:prstGeom prst="hear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/>
        </a:p>
      </xdr:txBody>
    </xdr:sp>
    <xdr:clientData/>
  </xdr:twoCellAnchor>
  <xdr:twoCellAnchor>
    <xdr:from>
      <xdr:col>1</xdr:col>
      <xdr:colOff>571500</xdr:colOff>
      <xdr:row>47</xdr:row>
      <xdr:rowOff>47625</xdr:rowOff>
    </xdr:from>
    <xdr:to>
      <xdr:col>2</xdr:col>
      <xdr:colOff>952500</xdr:colOff>
      <xdr:row>49</xdr:row>
      <xdr:rowOff>9525</xdr:rowOff>
    </xdr:to>
    <xdr:sp macro="" textlink="">
      <xdr:nvSpPr>
        <xdr:cNvPr id="25" name="CaixaDeTexto 6">
          <a:extLst>
            <a:ext uri="{FF2B5EF4-FFF2-40B4-BE49-F238E27FC236}">
              <a16:creationId xmlns:a16="http://schemas.microsoft.com/office/drawing/2014/main" id="{E4E68AC4-2DAF-3A49-A77D-58520B9B34BC}"/>
            </a:ext>
            <a:ext uri="{147F2762-F138-4A5C-976F-8EAC2B608ADB}">
              <a16:predDERef xmlns:a16="http://schemas.microsoft.com/office/drawing/2014/main" pred="{8E445491-052F-A248-85CD-B6A83F433841}"/>
            </a:ext>
          </a:extLst>
        </xdr:cNvPr>
        <xdr:cNvSpPr txBox="1"/>
      </xdr:nvSpPr>
      <xdr:spPr>
        <a:xfrm>
          <a:off x="752475" y="18735675"/>
          <a:ext cx="1409700" cy="723900"/>
        </a:xfrm>
        <a:prstGeom prst="rect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txBody>
        <a:bodyPr vertOverflow="clip" horzOverflow="clip" wrap="square" rtlCol="0"/>
        <a:lstStyle/>
        <a:p>
          <a:pPr algn="l"/>
          <a:r>
            <a:rPr lang="pt-BR" sz="2000"/>
            <a:t>Te amo meu príncipe, meu futuro marido e futuro pai dos meus filhos</a:t>
          </a:r>
        </a:p>
      </xdr:txBody>
    </xdr:sp>
    <xdr:clientData/>
  </xdr:twoCellAnchor>
  <xdr:twoCellAnchor>
    <xdr:from>
      <xdr:col>4</xdr:col>
      <xdr:colOff>190500</xdr:colOff>
      <xdr:row>45</xdr:row>
      <xdr:rowOff>342900</xdr:rowOff>
    </xdr:from>
    <xdr:to>
      <xdr:col>7</xdr:col>
      <xdr:colOff>314325</xdr:colOff>
      <xdr:row>50</xdr:row>
      <xdr:rowOff>200025</xdr:rowOff>
    </xdr:to>
    <xdr:sp macro="" textlink="">
      <xdr:nvSpPr>
        <xdr:cNvPr id="5" name="Coração 4">
          <a:extLst>
            <a:ext uri="{FF2B5EF4-FFF2-40B4-BE49-F238E27FC236}">
              <a16:creationId xmlns:a16="http://schemas.microsoft.com/office/drawing/2014/main" id="{AED7530E-ECE7-FB4E-81B1-3F9D0D9B44E0}"/>
            </a:ext>
            <a:ext uri="{147F2762-F138-4A5C-976F-8EAC2B608ADB}">
              <a16:predDERef xmlns:a16="http://schemas.microsoft.com/office/drawing/2014/main" pred="{E4E68AC4-2DAF-3A49-A77D-58520B9B34BC}"/>
            </a:ext>
          </a:extLst>
        </xdr:cNvPr>
        <xdr:cNvSpPr/>
      </xdr:nvSpPr>
      <xdr:spPr>
        <a:xfrm>
          <a:off x="2857500" y="18268950"/>
          <a:ext cx="2428875" cy="1762125"/>
        </a:xfrm>
        <a:prstGeom prst="hear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/>
        </a:p>
      </xdr:txBody>
    </xdr:sp>
    <xdr:clientData/>
  </xdr:twoCellAnchor>
  <xdr:twoCellAnchor>
    <xdr:from>
      <xdr:col>5</xdr:col>
      <xdr:colOff>161925</xdr:colOff>
      <xdr:row>47</xdr:row>
      <xdr:rowOff>47625</xdr:rowOff>
    </xdr:from>
    <xdr:to>
      <xdr:col>6</xdr:col>
      <xdr:colOff>695325</xdr:colOff>
      <xdr:row>49</xdr:row>
      <xdr:rowOff>57150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D1DE8B62-0245-3A49-A5D7-C4039FB48954}"/>
            </a:ext>
            <a:ext uri="{147F2762-F138-4A5C-976F-8EAC2B608ADB}">
              <a16:predDERef xmlns:a16="http://schemas.microsoft.com/office/drawing/2014/main" pred="{AED7530E-ECE7-FB4E-81B1-3F9D0D9B44E0}"/>
            </a:ext>
          </a:extLst>
        </xdr:cNvPr>
        <xdr:cNvSpPr txBox="1"/>
      </xdr:nvSpPr>
      <xdr:spPr>
        <a:xfrm>
          <a:off x="3419475" y="18735675"/>
          <a:ext cx="1428750" cy="771525"/>
        </a:xfrm>
        <a:prstGeom prst="rect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txBody>
        <a:bodyPr vertOverflow="clip" horzOverflow="clip" wrap="square" rtlCol="0"/>
        <a:lstStyle/>
        <a:p>
          <a:pPr algn="l"/>
          <a:r>
            <a:rPr lang="pt-BR" sz="3200"/>
            <a:t>Te amoooooo mtmt meu príncipe, obg por td</a:t>
          </a:r>
        </a:p>
      </xdr:txBody>
    </xdr:sp>
    <xdr:clientData/>
  </xdr:twoCellAnchor>
  <xdr:twoCellAnchor>
    <xdr:from>
      <xdr:col>18</xdr:col>
      <xdr:colOff>0</xdr:colOff>
      <xdr:row>27</xdr:row>
      <xdr:rowOff>0</xdr:rowOff>
    </xdr:from>
    <xdr:to>
      <xdr:col>25</xdr:col>
      <xdr:colOff>278976</xdr:colOff>
      <xdr:row>38</xdr:row>
      <xdr:rowOff>303951</xdr:rowOff>
    </xdr:to>
    <xdr:sp macro="" textlink="">
      <xdr:nvSpPr>
        <xdr:cNvPr id="8" name="Coração 7">
          <a:extLst>
            <a:ext uri="{FF2B5EF4-FFF2-40B4-BE49-F238E27FC236}">
              <a16:creationId xmlns:a16="http://schemas.microsoft.com/office/drawing/2014/main" id="{2BB1EFA4-3E11-D14A-9D38-F2E1B7E1017A}"/>
            </a:ext>
            <a:ext uri="{147F2762-F138-4A5C-976F-8EAC2B608ADB}">
              <a16:predDERef xmlns:a16="http://schemas.microsoft.com/office/drawing/2014/main" pred="{D1DE8B62-0245-3A49-A5D7-C4039FB48954}"/>
            </a:ext>
          </a:extLst>
        </xdr:cNvPr>
        <xdr:cNvSpPr/>
      </xdr:nvSpPr>
      <xdr:spPr>
        <a:xfrm>
          <a:off x="14200910" y="11707090"/>
          <a:ext cx="5761416" cy="4549381"/>
        </a:xfrm>
        <a:prstGeom prst="hear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/>
        </a:p>
      </xdr:txBody>
    </xdr:sp>
    <xdr:clientData/>
  </xdr:twoCellAnchor>
  <xdr:twoCellAnchor>
    <xdr:from>
      <xdr:col>19</xdr:col>
      <xdr:colOff>514597</xdr:colOff>
      <xdr:row>30</xdr:row>
      <xdr:rowOff>98960</xdr:rowOff>
    </xdr:from>
    <xdr:to>
      <xdr:col>23</xdr:col>
      <xdr:colOff>296882</xdr:colOff>
      <xdr:row>35</xdr:row>
      <xdr:rowOff>247402</xdr:rowOff>
    </xdr:to>
    <xdr:sp macro="" textlink="">
      <xdr:nvSpPr>
        <xdr:cNvPr id="16" name="CaixaDeTexto 8">
          <a:extLst>
            <a:ext uri="{FF2B5EF4-FFF2-40B4-BE49-F238E27FC236}">
              <a16:creationId xmlns:a16="http://schemas.microsoft.com/office/drawing/2014/main" id="{31A19907-51BC-8140-8722-D8A526B3B864}"/>
            </a:ext>
            <a:ext uri="{147F2762-F138-4A5C-976F-8EAC2B608ADB}">
              <a16:predDERef xmlns:a16="http://schemas.microsoft.com/office/drawing/2014/main" pred="{2BB1EFA4-3E11-D14A-9D38-F2E1B7E1017A}"/>
            </a:ext>
          </a:extLst>
        </xdr:cNvPr>
        <xdr:cNvSpPr txBox="1"/>
      </xdr:nvSpPr>
      <xdr:spPr>
        <a:xfrm>
          <a:off x="15715012" y="12963895"/>
          <a:ext cx="2998520" cy="2078182"/>
        </a:xfrm>
        <a:prstGeom prst="rect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txBody>
        <a:bodyPr vertOverflow="clip" horzOverflow="clip" wrap="square" rtlCol="0"/>
        <a:lstStyle/>
        <a:p>
          <a:pPr algn="l"/>
          <a:r>
            <a:rPr lang="pt-BR" sz="2400"/>
            <a:t>Amor, te amo mtmt, amo namorar com vc, fé q td vai da certo e espero q conte cmg smp. Te amooooo 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5A2D0AAA-1A84-419A-B169-08B49E607F5A}" name="Lista58112638" displayName="Lista58112638" ref="B4:C11" totalsRowCount="1" headerRowDxfId="322" dataDxfId="321" totalsRowDxfId="320">
  <tableColumns count="2">
    <tableColumn id="1" xr3:uid="{355D85E7-6A7D-4666-813D-47350984AB5A}" name="Item" totalsRowLabel="Total" dataDxfId="319" totalsRowDxfId="318"/>
    <tableColumn id="4" xr3:uid="{8A7D3FCE-76A0-4B3A-8259-0AD92EF83576}" name="Preço" totalsRowFunction="custom" dataDxfId="317" totalsRowDxfId="316" dataCellStyle="Moeda">
      <totalsRowFormula>SUM(Lista58112638[Preço])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118140CB-7EBA-49D7-9967-45C474DBCF89}" name="Lista5811266539" displayName="Lista5811266539" ref="F4:G11" totalsRowCount="1" headerRowDxfId="315" dataDxfId="314" totalsRowDxfId="313">
  <tableColumns count="2">
    <tableColumn id="1" xr3:uid="{A73614C0-5192-40C4-9308-A1822AAA7EDC}" name="Item" totalsRowLabel="Total" dataDxfId="312" totalsRowDxfId="311"/>
    <tableColumn id="4" xr3:uid="{73A78814-F562-4849-B4D5-BBB96EF77627}" name="Preço" totalsRowFunction="custom" dataDxfId="310" totalsRowDxfId="309" dataCellStyle="Moeda">
      <totalsRowFormula>SUM(Lista5811266539[Preço])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34AFA3FA-3EC9-48AC-921B-2A567FFFD683}" name="Lista5811266640" displayName="Lista5811266640" ref="J4:K11" totalsRowCount="1" headerRowDxfId="308" dataDxfId="307" totalsRowDxfId="306">
  <tableColumns count="2">
    <tableColumn id="1" xr3:uid="{BFA31362-E766-4204-BF8C-98F40BF971CB}" name="Item" totalsRowLabel="Total" dataDxfId="305" totalsRowDxfId="304"/>
    <tableColumn id="4" xr3:uid="{2DE7542C-F68F-48E9-B591-C86D885DA687}" name="Preço" totalsRowFunction="custom" dataDxfId="303" totalsRowDxfId="302" dataCellStyle="Moeda">
      <totalsRowFormula>SUM(Lista5811266640[Preço])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9AC43E5B-AF95-4C35-99FB-2EFDC55B4DC2}" name="Lista5811266741" displayName="Lista5811266741" ref="N4:O11" totalsRowCount="1" headerRowDxfId="301" dataDxfId="300" totalsRowDxfId="299">
  <tableColumns count="2">
    <tableColumn id="1" xr3:uid="{3D984A3F-3EA1-4A8E-A57D-04EE0D999004}" name="Item" totalsRowLabel="Total" dataDxfId="298" totalsRowDxfId="297"/>
    <tableColumn id="4" xr3:uid="{8D7885E2-5492-48FA-9219-945C61A71993}" name="Preço" totalsRowFunction="custom" dataDxfId="296" totalsRowDxfId="295" dataCellStyle="Moeda">
      <totalsRowFormula>SUM(Lista5811266741[Preço])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B742C258-FC93-46F5-9C28-7AEA914826C5}" name="Lista5811266842" displayName="Lista5811266842" ref="R4:S11" totalsRowCount="1" headerRowDxfId="294" dataDxfId="293" totalsRowDxfId="292">
  <tableColumns count="2">
    <tableColumn id="1" xr3:uid="{8ACE1EDE-2BBC-469A-B2BA-EA4C5CC589D6}" name="Item" totalsRowLabel="Total" dataDxfId="291" totalsRowDxfId="290"/>
    <tableColumn id="4" xr3:uid="{A6E6C99F-2BE1-4A76-9C34-5482393A80A9}" name="Preço" totalsRowFunction="custom" dataDxfId="289" totalsRowDxfId="288" dataCellStyle="Moeda">
      <totalsRowFormula>SUM(Lista5811266842[Preço])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F6D4EFD3-375D-4F69-9FD8-64186BD1A51A}" name="Lista5811266943" displayName="Lista5811266943" ref="V4:W11" totalsRowCount="1" headerRowDxfId="287" dataDxfId="286" totalsRowDxfId="285">
  <tableColumns count="2">
    <tableColumn id="1" xr3:uid="{BAB14A03-0E87-4AC8-B1FD-294C369A0A9A}" name="Item" totalsRowLabel="Total" dataDxfId="284" totalsRowDxfId="283"/>
    <tableColumn id="4" xr3:uid="{4D227A7D-666A-4A44-85F8-3CD395CFAADF}" name="Preço" totalsRowFunction="custom" dataDxfId="282" totalsRowDxfId="281" dataCellStyle="Moeda">
      <totalsRowFormula>SUM(Lista5811266943[Preço])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B5B29928-7522-4B3D-8178-3DA4ADD98412}" name="Lista5811267044" displayName="Lista5811267044" ref="B18:C25" totalsRowCount="1" headerRowDxfId="280" dataDxfId="279" totalsRowDxfId="278">
  <tableColumns count="2">
    <tableColumn id="1" xr3:uid="{3DEB7198-44B9-4670-AC12-37ECAA3A3628}" name="Item" totalsRowLabel="Total" dataDxfId="277" totalsRowDxfId="276"/>
    <tableColumn id="4" xr3:uid="{911F40CC-9DA3-4656-836A-E1658AD93385}" name="Preço" totalsRowFunction="custom" dataDxfId="275" totalsRowDxfId="274" dataCellStyle="Moeda">
      <totalsRowFormula>SUM(Lista5811267044[Preço])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5480826-26E6-49C5-8B4F-5EBC7428C55E}" name="Lista5811267145" displayName="Lista5811267145" ref="F18:G25" totalsRowCount="1" headerRowDxfId="273" dataDxfId="272" totalsRowDxfId="271">
  <tableColumns count="2">
    <tableColumn id="1" xr3:uid="{54C76D79-82BF-4BBA-8044-47CDD8FFDB26}" name="Item" totalsRowLabel="Total" dataDxfId="270" totalsRowDxfId="269"/>
    <tableColumn id="4" xr3:uid="{9ED7C37C-13CF-4162-92A6-132EA19060DD}" name="Preço" totalsRowFunction="custom" dataDxfId="268" totalsRowDxfId="267" dataCellStyle="Moeda">
      <totalsRowFormula>SUM(Lista5811267145[Preço])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A8747B4B-FABE-4B3A-BFE5-6C5F7E624B80}" name="Lista5811267246" displayName="Lista5811267246" ref="J18:K25" totalsRowCount="1" headerRowDxfId="266" dataDxfId="265" totalsRowDxfId="264">
  <tableColumns count="2">
    <tableColumn id="1" xr3:uid="{A9E22574-A381-4C35-9DF7-CB5D187E30A8}" name="Item" totalsRowLabel="Total" dataDxfId="263" totalsRowDxfId="262"/>
    <tableColumn id="4" xr3:uid="{02B3F8D4-3DCC-4119-BFF6-F919A752D35C}" name="Preço" totalsRowFunction="custom" dataDxfId="261" totalsRowDxfId="260" dataCellStyle="Moeda">
      <totalsRowFormula>SUM(Lista5811267246[Preço])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72029C7-E120-47C7-8105-CD4C061EA741}" name="Lista5811267347" displayName="Lista5811267347" ref="N18:O25" totalsRowCount="1" headerRowDxfId="259" dataDxfId="258" totalsRowDxfId="257">
  <tableColumns count="2">
    <tableColumn id="1" xr3:uid="{921903D2-38A1-4416-B3FB-799B7720F878}" name="Item" totalsRowLabel="Total" dataDxfId="256" totalsRowDxfId="255"/>
    <tableColumn id="4" xr3:uid="{A3A0A18A-73AB-4FC9-AB9B-41EF272E5897}" name=" " totalsRowFunction="custom" dataDxfId="254" totalsRowDxfId="253" dataCellStyle="Moeda">
      <totalsRowFormula>SUM(Lista5811267347[[ ]])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FD765554-10A1-488F-A3D9-2095326399F5}" name="Lista5811267448" displayName="Lista5811267448" ref="R18:S25" totalsRowCount="1" headerRowDxfId="252" dataDxfId="251" totalsRowDxfId="250">
  <tableColumns count="2">
    <tableColumn id="1" xr3:uid="{76D7328D-290A-4849-A327-44A3A3C2231F}" name="Item" totalsRowLabel="Total" dataDxfId="249" totalsRowDxfId="248"/>
    <tableColumn id="4" xr3:uid="{198426A6-00C5-4399-91C0-3A3BCAB8E9B3}" name="Preço" totalsRowFunction="custom" dataDxfId="247" totalsRowDxfId="246" dataCellStyle="Moeda">
      <totalsRowFormula>SUM(Lista5811267448[Preço])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CC5B1E18-263A-4986-82F6-7E5A9AC1995F}" name="Lista5811267549" displayName="Lista5811267549" ref="V18:W25" totalsRowCount="1" headerRowDxfId="245" dataDxfId="244" totalsRowDxfId="243">
  <tableColumns count="2">
    <tableColumn id="1" xr3:uid="{8003273A-3C72-4E23-98C9-2B0944C515A5}" name="Item" totalsRowLabel="Total" dataDxfId="242" totalsRowDxfId="241"/>
    <tableColumn id="4" xr3:uid="{384499AD-6610-4FFF-A49D-3CBCBA3FB9B9}" name="Preço" totalsRowFunction="custom" dataDxfId="240" totalsRowDxfId="239" dataCellStyle="Moeda">
      <totalsRowFormula>SUM(Lista5811267549[Preço])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495E1BF2-2908-4314-88F1-EDE564FE42DB}" name="Tabela1751" displayName="Tabela1751" ref="B29:F35" totalsRowShown="0" dataDxfId="238">
  <tableColumns count="5">
    <tableColumn id="1" xr3:uid="{549C00F5-E4B1-4D90-99CF-3D28C4D1DFE8}" name="Dívidas" dataDxfId="237" totalsRowDxfId="236"/>
    <tableColumn id="2" xr3:uid="{D23992BD-EE71-4918-88C5-21630B335BE4}" name="Valor" dataDxfId="235" totalsRowDxfId="234"/>
    <tableColumn id="14" xr3:uid="{B1D1F8F9-DAE9-4973-9BD4-06D4F319D95D}" name="Outubro" dataDxfId="233" totalsRowDxfId="232" dataCellStyle="Moeda"/>
    <tableColumn id="15" xr3:uid="{3D7C1ACE-8D41-414B-A9FF-E8936E90D1F8}" name="Novembro" dataDxfId="231" totalsRowDxfId="230" dataCellStyle="Moeda"/>
    <tableColumn id="16" xr3:uid="{4E0DD8D0-B9EC-4E70-92AD-2C3804F5BAEF}" name="Dezembro" dataDxfId="229" totalsRowDxfId="228" dataCellStyle="Moeda"/>
  </tableColumns>
  <tableStyleInfo name="TableStyleLight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D7CA980B-166B-4C92-A581-5C8E93F029E5}" name="Lista581126" displayName="Lista581126" ref="B4:C11" totalsRowCount="1" headerRowDxfId="227" dataDxfId="226" totalsRowDxfId="225">
  <tableColumns count="2">
    <tableColumn id="1" xr3:uid="{C7E5CB9D-6871-4E2C-BFCD-B6737F78D5B0}" name="Item" totalsRowLabel="Total" dataDxfId="224" totalsRowDxfId="223"/>
    <tableColumn id="4" xr3:uid="{417F00D0-D202-4184-BBF9-341742334C1B}" name="Preço" totalsRowFunction="custom" dataDxfId="222" totalsRowDxfId="221" dataCellStyle="Moeda">
      <totalsRowFormula>SUM(Lista581126[Preço])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C69E57EA-44F3-4253-AEF8-10DC1EBBA068}" name="Lista58112665" displayName="Lista58112665" ref="F4:G11" totalsRowCount="1" headerRowDxfId="220" dataDxfId="219" totalsRowDxfId="218">
  <tableColumns count="2">
    <tableColumn id="1" xr3:uid="{FD60D601-1632-4D94-8997-F0FA6A30C4D8}" name="Item" totalsRowLabel="Total" dataDxfId="217" totalsRowDxfId="216"/>
    <tableColumn id="4" xr3:uid="{DD062A42-2E00-4A44-9C6E-6E9AE3EA5E1A}" name="Preço" totalsRowFunction="custom" dataDxfId="215" totalsRowDxfId="214" dataCellStyle="Moeda" totalsRowCellStyle="Moeda">
      <totalsRowFormula>SUM(Lista58112665[Preço])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06A777-D511-4F85-ABCE-3437592C6AD4}" name="Lista58112666" displayName="Lista58112666" ref="J4:K11" totalsRowCount="1" headerRowDxfId="213" dataDxfId="212" totalsRowDxfId="211">
  <tableColumns count="2">
    <tableColumn id="1" xr3:uid="{8DDD3D44-A1CA-4236-A075-E328C700E218}" name="Item" totalsRowLabel="Total" dataDxfId="210" totalsRowDxfId="209"/>
    <tableColumn id="4" xr3:uid="{F0DBC055-8D2B-43C5-A113-E27189E442B9}" name="Preço" totalsRowFunction="custom" dataDxfId="208" totalsRowDxfId="207" dataCellStyle="Moeda">
      <totalsRowFormula>SUM(Lista58112666[Preço])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2A3CAA8-C873-4718-8D63-91004B6F4AC2}" name="Lista58112667" displayName="Lista58112667" ref="N4:O11" totalsRowCount="1" headerRowDxfId="206" dataDxfId="205" totalsRowDxfId="204">
  <tableColumns count="2">
    <tableColumn id="1" xr3:uid="{C4959FCF-2635-4F81-BA31-D90131FBC70A}" name="Item" totalsRowLabel="Total" dataDxfId="203" totalsRowDxfId="202"/>
    <tableColumn id="4" xr3:uid="{A8A0BE44-7CE0-4690-82FB-AFE123F0A24B}" name="Preço" totalsRowFunction="custom" dataDxfId="201" totalsRowDxfId="200" dataCellStyle="Moeda">
      <totalsRowFormula>SUM(Lista58112667[Preço])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B4219B97-6466-467B-9B9B-106B5FC44EC9}" name="Lista58112668" displayName="Lista58112668" ref="R4:S11" totalsRowCount="1" headerRowDxfId="199" dataDxfId="198" totalsRowDxfId="197">
  <tableColumns count="2">
    <tableColumn id="1" xr3:uid="{63854331-9942-43A7-97F4-C15659FF84C5}" name="Item" totalsRowLabel="Total" dataDxfId="196" totalsRowDxfId="195"/>
    <tableColumn id="4" xr3:uid="{F1C87BF1-0374-4588-AC08-6C604E00065B}" name="Preço" totalsRowFunction="custom" dataDxfId="194" totalsRowDxfId="193" dataCellStyle="Moeda">
      <totalsRowFormula>SUM(Lista58112668[Preço])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FE8C385D-B821-4469-8FB5-79AE07127381}" name="Lista58112669" displayName="Lista58112669" ref="V4:W11" totalsRowCount="1" headerRowDxfId="192" dataDxfId="191" totalsRowDxfId="190">
  <tableColumns count="2">
    <tableColumn id="1" xr3:uid="{09A87694-D414-4827-B130-67867FE71814}" name="Item" totalsRowLabel="Total" dataDxfId="189" totalsRowDxfId="188"/>
    <tableColumn id="4" xr3:uid="{70FE79B4-90E9-49EA-9892-24DAF92DA8CB}" name="Preço" totalsRowFunction="custom" dataDxfId="187" totalsRowDxfId="186" dataCellStyle="Moeda">
      <totalsRowFormula>SUM(Lista58112669[Preço])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DF7DE565-BEAF-403C-AA25-C625BEDE328D}" name="Lista58112670" displayName="Lista58112670" ref="B18:C25" totalsRowCount="1" headerRowDxfId="185" dataDxfId="184" totalsRowDxfId="183">
  <tableColumns count="2">
    <tableColumn id="1" xr3:uid="{ECF99AF7-13CC-4728-97FB-03D7F8901AB1}" name="Item" totalsRowLabel="Total" dataDxfId="182" totalsRowDxfId="181"/>
    <tableColumn id="4" xr3:uid="{2963815F-724A-4297-BC05-104AA9AF9D22}" name="Preço" totalsRowFunction="custom" dataDxfId="180" totalsRowDxfId="179" dataCellStyle="Moeda">
      <totalsRowFormula>SUM(Lista58112670[Preço])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744BAB87-C039-40C6-B90C-5B2A7F9229D4}" name="Lista58112671" displayName="Lista58112671" ref="F18:G25" totalsRowCount="1" headerRowDxfId="178" dataDxfId="177" totalsRowDxfId="176">
  <tableColumns count="2">
    <tableColumn id="1" xr3:uid="{8EF5E6A2-FA01-485A-8E2E-E3A9D6CC6869}" name="Item" totalsRowLabel="Total" dataDxfId="175" totalsRowDxfId="174"/>
    <tableColumn id="4" xr3:uid="{5CE81A29-D4E8-4537-BDA0-2DD04245B3D7}" name="Preço" totalsRowFunction="custom" dataDxfId="173" totalsRowDxfId="172" dataCellStyle="Moeda">
      <totalsRowFormula>SUM(Lista58112671[Preço])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1D351AB2-BAD6-44ED-A43D-4184CAC60824}" name="Lista58112672" displayName="Lista58112672" ref="J18:K25" totalsRowCount="1" headerRowDxfId="171" dataDxfId="170" totalsRowDxfId="169">
  <tableColumns count="2">
    <tableColumn id="1" xr3:uid="{32CCCCE0-813F-409B-9390-AA02A14A8E45}" name="Item" totalsRowLabel="Total" dataDxfId="168" totalsRowDxfId="167"/>
    <tableColumn id="4" xr3:uid="{3DA0B631-0C73-4A5D-95FD-FD3C81C92ECC}" name="Preço" totalsRowFunction="custom" dataDxfId="166" totalsRowDxfId="165" dataCellStyle="Moeda">
      <totalsRowFormula>SUM(Lista58112672[Preço])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C5F8FE80-133F-433F-A020-5DDF1ADE8CE9}" name="Lista58112673" displayName="Lista58112673" ref="N18:O25" totalsRowCount="1" headerRowDxfId="164" dataDxfId="163" totalsRowDxfId="162">
  <tableColumns count="2">
    <tableColumn id="1" xr3:uid="{46656135-3E45-4CB2-8015-C197D130CF40}" name="Item" totalsRowLabel="Total" dataDxfId="161" totalsRowDxfId="160"/>
    <tableColumn id="4" xr3:uid="{835CFA24-D3F7-463B-A6AE-72103FB1733D}" name=" " totalsRowFunction="custom" dataDxfId="159" totalsRowDxfId="158" dataCellStyle="Moeda">
      <totalsRowFormula>SUM(Lista58112673[[ ]])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FEC021A4-F873-42DA-83A8-5058752D7B97}" name="Lista58112674" displayName="Lista58112674" ref="R18:S25" totalsRowCount="1" headerRowDxfId="157" dataDxfId="156" totalsRowDxfId="155">
  <tableColumns count="2">
    <tableColumn id="1" xr3:uid="{3D6301A2-580E-4BF6-B887-93F6157B299B}" name="Item" totalsRowLabel="Total" dataDxfId="154" totalsRowDxfId="153"/>
    <tableColumn id="4" xr3:uid="{9C244703-2EDE-4544-B25E-9BEDE90A55ED}" name="Preço" totalsRowFunction="custom" dataDxfId="152" totalsRowDxfId="151" dataCellStyle="Moeda">
      <totalsRowFormula>SUM(Lista58112674[Preço])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85C83C7F-B8BE-41FF-995C-1D34995F7BBB}" name="Lista58112675" displayName="Lista58112675" ref="V18:W25" totalsRowCount="1" headerRowDxfId="150" dataDxfId="149" totalsRowDxfId="148">
  <tableColumns count="2">
    <tableColumn id="1" xr3:uid="{DF7AA2EA-613A-4BA2-B821-EDE6CDCF7927}" name="Item" totalsRowLabel="Total" dataDxfId="147" totalsRowDxfId="146"/>
    <tableColumn id="4" xr3:uid="{78F4CDFF-3051-4045-A540-D7C47E9BD7B8}" name="Preço" totalsRowFunction="custom" dataDxfId="145" totalsRowDxfId="144" dataCellStyle="Moeda">
      <totalsRowFormula>SUM(Lista58112675[Preço])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32CBEE0F-9B7B-465A-8F9C-5637C9F8E65C}" name="Lista5811267076" displayName="Lista5811267076" ref="B31:E38" totalsRowCount="1" headerRowDxfId="143" dataDxfId="142" totalsRowDxfId="141">
  <tableColumns count="4">
    <tableColumn id="1" xr3:uid="{B850AC26-B8EA-4643-A380-4E176DCE12FB}" name="Item" totalsRowLabel="TV" dataDxfId="140" totalsRowDxfId="139"/>
    <tableColumn id="4" xr3:uid="{51C03CF6-C220-4AAD-AB4B-98B655253F5D}" name="MÍNIMO" totalsRowLabel="R$ 300,00" dataDxfId="138" totalsRowDxfId="137" dataCellStyle="Moeda" totalsRowCellStyle="Moeda"/>
    <tableColumn id="2" xr3:uid="{86D48FC3-E3E3-453F-A3B2-D0B9804DC306}" name="MÁXIMO" totalsRowLabel="R$ 400,00" dataDxfId="136" totalsRowDxfId="135" dataCellStyle="Moeda" totalsRowCellStyle="Moeda"/>
    <tableColumn id="3" xr3:uid="{9A3DE6A1-DBFC-4EA8-B532-4F8C6174E613}" name="REAL" totalsRowLabel="R$ 335,00" dataDxfId="134" totalsRowDxfId="133" dataCellStyle="Moeda" totalsRowCellStyle="Moeda"/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BCFDDD8-3196-44D5-A263-554B305A60D8}" name="Tabela17" displayName="Tabela17" ref="B43:J48" totalsRowShown="0" dataDxfId="132">
  <tableColumns count="9">
    <tableColumn id="1" xr3:uid="{3ACA63DC-3211-4932-BD3B-4280E8771779}" name="Dívidas" dataDxfId="131" totalsRowDxfId="130"/>
    <tableColumn id="2" xr3:uid="{03F21F52-A407-4CFD-87E0-0E31D43E8141}" name="valor" dataDxfId="129" totalsRowDxfId="128"/>
    <tableColumn id="4" xr3:uid="{F5D8FBB9-4247-4CE0-9565-374268195BD4}" name="novembro" dataDxfId="127" totalsRowDxfId="126"/>
    <tableColumn id="5" xr3:uid="{7B171369-D842-4823-BEEC-194B1133F73E}" name="dezembro" dataDxfId="125" totalsRowDxfId="124"/>
    <tableColumn id="6" xr3:uid="{FF265C57-390B-4247-98D0-BBF2B3C241EF}" name="janeiro" dataDxfId="123" totalsRowDxfId="122"/>
    <tableColumn id="7" xr3:uid="{F737CD58-30B3-433C-8959-B17E8AA3B2F8}" name="fevereiro" dataDxfId="121" totalsRowDxfId="120"/>
    <tableColumn id="8" xr3:uid="{76930468-F6B7-490A-A2A5-16862F1E9F3C}" name="março" dataDxfId="119" totalsRowDxfId="118"/>
    <tableColumn id="9" xr3:uid="{A77784A9-999A-4700-9916-D0BD187CE1E5}" name="real" dataDxfId="117" totalsRowDxfId="116" dataCellStyle="Moeda" totalsRowCellStyle="Moeda">
      <calculatedColumnFormula>SUM(Tabela17[[#This Row],[novembro]:[março]])</calculatedColumnFormula>
    </tableColumn>
    <tableColumn id="10" xr3:uid="{EE6BE62F-379B-44BE-8D5A-61CD1ECAB6E0}" name="defasado" dataDxfId="115" totalsRowDxfId="114">
      <calculatedColumnFormula>Tabela17[[#This Row],[valor]]-Tabela17[[#This Row],[real]]</calculatedColumnFormula>
    </tableColumn>
  </tableColumns>
  <tableStyleInfo name="TableStyleLight8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ACA5DF72-919F-FF40-83A9-3A44AE7AEA7A}" name="Lista5811261337" displayName="Lista5811261337" ref="B4:C11" totalsRowCount="1">
  <tableColumns count="2">
    <tableColumn id="1" xr3:uid="{51C7E5B7-2962-8243-8F4B-50252FAB4303}" name="Item" totalsRowLabel="Total" totalsRowDxfId="113"/>
    <tableColumn id="4" xr3:uid="{6D4CCF4A-4C76-4743-9F81-DD6BEE59EA22}" name="Preço" totalsRowFunction="custom" totalsRowDxfId="112" dataCellStyle="Moeda" totalsRowCellStyle="Moeda">
      <totalsRowFormula>SUM(Lista5811261337[Preço])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CD24C975-BDA5-B94D-9D18-17ABE48D7527}" name="Lista36912271450" displayName="Lista36912271450" ref="E4:F11" totalsRowCount="1">
  <tableColumns count="2">
    <tableColumn id="1" xr3:uid="{81E0C456-2071-5845-A076-BAAE2D9873EB}" name="Item" totalsRowLabel="Total" totalsRowDxfId="111"/>
    <tableColumn id="4" xr3:uid="{19912D64-5F25-644B-A76A-BC04F719A6B0}" name="Preço" totalsRowFunction="custom" totalsRowDxfId="110" dataCellStyle="Moeda">
      <totalsRowFormula>SUM(Lista36912271450[Preço])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FCF76C98-10B0-E440-A7FD-F140683EAABF}" name="Lista581126131152" displayName="Lista581126131152" ref="H4:I11" totalsRowCount="1">
  <tableColumns count="2">
    <tableColumn id="1" xr3:uid="{8792671B-F7DD-A84C-A0EA-E609549BFCB2}" name="Item" totalsRowLabel="Total" totalsRowDxfId="109"/>
    <tableColumn id="4" xr3:uid="{AF79D23F-5429-0C46-8233-375201A9D6F3}" name="Preço" totalsRowFunction="custom" totalsRowDxfId="108" dataCellStyle="Moeda" totalsRowCellStyle="Moeda">
      <totalsRowFormula>SUM(Lista581126131152[Preço])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8B20258E-E791-9845-B41F-4D9681D539DC}" name="Lista3691227141253" displayName="Lista3691227141253" ref="K4:L11" totalsRowCount="1">
  <tableColumns count="2">
    <tableColumn id="1" xr3:uid="{AB176650-9309-DC4F-9F26-81EE1DAFB0DE}" name="Item" totalsRowLabel="Total" totalsRowDxfId="107"/>
    <tableColumn id="4" xr3:uid="{07E08DF1-57DD-824B-A1EC-55E48A4963EC}" name="Preço" totalsRowFunction="custom" totalsRowDxfId="106" dataCellStyle="Moeda">
      <totalsRowFormula>SUM(Lista3691227141253[Preço])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410128AD-81F5-F04B-8D33-0002CBD7C0BF}" name="Lista58112613111554" displayName="Lista58112613111554" ref="N4:O11" totalsRowCount="1">
  <tableColumns count="2">
    <tableColumn id="1" xr3:uid="{00F4CEEA-1B5C-724D-8F66-5E0F9E57D486}" name="Item" totalsRowLabel="Total" totalsRowDxfId="105"/>
    <tableColumn id="4" xr3:uid="{0A662522-5835-7440-ADBF-A8FD9F94DDDF}" name="Preço" totalsRowFunction="custom" totalsRowDxfId="104" dataCellStyle="Moeda">
      <totalsRowFormula>SUM(Lista58112613111554[Preço])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FACE53E5-66EC-8D4B-9887-83EC806BDF92}" name="Lista369122714121655" displayName="Lista369122714121655" ref="Q4:R11" totalsRowCount="1">
  <tableColumns count="2">
    <tableColumn id="1" xr3:uid="{7509E862-E5F7-1146-AFDC-7DF25BC56225}" name="Item" totalsRowLabel="Total" totalsRowDxfId="103"/>
    <tableColumn id="4" xr3:uid="{CE341853-ECA9-2043-AF82-7FE60CD1AD9D}" name="Preço" totalsRowFunction="custom" totalsRowDxfId="102" dataCellStyle="Moeda">
      <totalsRowFormula>SUM(Lista369122714121655[Preço])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30793AC-769A-0847-86CF-50A553184ACA}" name="Lista58112613111756" displayName="Lista58112613111756" ref="T4:U11" totalsRowCount="1">
  <tableColumns count="2">
    <tableColumn id="1" xr3:uid="{46A9E0B3-1539-A140-A97B-D6A8A2368FD4}" name="Item" totalsRowLabel="Total" totalsRowDxfId="101"/>
    <tableColumn id="4" xr3:uid="{84D7642E-6AD5-D04A-BE31-F6200B85290B}" name="Preço" totalsRowFunction="custom" totalsRowDxfId="100" dataCellStyle="Moeda">
      <totalsRowFormula>SUM(Lista58112613111756[Preço])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2C0707A4-A0E4-F943-9D9D-B07465E6C56D}" name="Lista369122714121957" displayName="Lista369122714121957" ref="W4:X11" totalsRowCount="1">
  <tableColumns count="2">
    <tableColumn id="1" xr3:uid="{4846B54E-80C0-4A4B-9C9F-E92AB418F006}" name="Item" totalsRowLabel="Total" totalsRowDxfId="99"/>
    <tableColumn id="4" xr3:uid="{1CD438EF-DBD3-7F44-BBAA-D4071917702C}" name="Preço" totalsRowFunction="custom" totalsRowDxfId="98" dataCellStyle="Moeda">
      <totalsRowFormula>SUM(Lista369122714121957[Preço])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D5FCAB20-AD28-BD48-B04B-17A7A3F8891D}" name="Lista58112613112058" displayName="Lista58112613112058" ref="Z4:AA11" totalsRowCount="1">
  <tableColumns count="2">
    <tableColumn id="1" xr3:uid="{86AC1FDD-B4C3-C240-8FFB-C24411CEB102}" name="Item" totalsRowLabel="Total" totalsRowDxfId="97"/>
    <tableColumn id="4" xr3:uid="{10DBBD98-7E4F-0C4D-ABCD-83599E7C43B6}" name="Preço" totalsRowFunction="custom" totalsRowDxfId="96" dataCellStyle="Moeda">
      <totalsRowFormula>SUM(Lista58112613112058[Preço])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C2155080-9DB9-CD46-9771-96D8D6A80EFB}" name="Lista369122714122159" displayName="Lista369122714122159" ref="AC4:AD11" totalsRowCount="1">
  <tableColumns count="2">
    <tableColumn id="1" xr3:uid="{B6595733-6C7C-7448-9335-A8629B994DEE}" name="Item" totalsRowLabel="Total" totalsRowDxfId="95"/>
    <tableColumn id="4" xr3:uid="{36792256-577C-0F41-B731-0666E241D430}" name="Preço" totalsRowFunction="custom" totalsRowDxfId="94" dataCellStyle="Moeda">
      <totalsRowFormula>SUM(Lista369122714122159[Preço])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65E66330-7D4A-7043-8E2C-E9C2B146C254}" name="Lista58112613112260" displayName="Lista58112613112260" ref="AF4:AG11" totalsRowCount="1">
  <tableColumns count="2">
    <tableColumn id="1" xr3:uid="{C4CEA8D1-50B4-9844-8904-1C4348E3DC3C}" name="Item" totalsRowLabel="Total" totalsRowDxfId="93"/>
    <tableColumn id="4" xr3:uid="{C9B23973-2F35-AB48-9DDF-704ABB750516}" name="Preço" totalsRowFunction="custom" totalsRowDxfId="92" dataCellStyle="Moeda">
      <totalsRowFormula>SUM(Lista58112613112260[Preço])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C7EE5C16-CB4E-6848-94BB-4664DC12F43E}" name="Lista369122714122361" displayName="Lista369122714122361" ref="AI4:AJ11" totalsRowCount="1">
  <tableColumns count="2">
    <tableColumn id="1" xr3:uid="{682B1A22-04E7-7F49-8733-801778298148}" name="Item" totalsRowLabel="Total" totalsRowDxfId="91"/>
    <tableColumn id="4" xr3:uid="{5B5B703A-C33A-E446-8BF2-37C2D5CCCDF7}" name="Preço" totalsRowFunction="custom" totalsRowDxfId="90" dataCellStyle="Moeda">
      <totalsRowFormula>SUM(Lista369122714122361[Preço])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4624811C-1970-0F48-8988-4255317AF368}" name="Lista58112613112462" displayName="Lista58112613112462" ref="B17:C24" totalsRowCount="1">
  <tableColumns count="2">
    <tableColumn id="1" xr3:uid="{B47ED09D-705F-EE40-9C65-F1DD615B7838}" name="Item" totalsRowLabel="Total" totalsRowDxfId="89"/>
    <tableColumn id="4" xr3:uid="{E188FC97-8F12-0F41-8A96-E08F824CB352}" name="Preço" totalsRowFunction="custom" totalsRowDxfId="88" dataCellStyle="Moeda" totalsRowCellStyle="Moeda">
      <totalsRowFormula>SUM(Lista58112613112462[Preço])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AABA89CB-077D-6346-A652-805E9A94E151}" name="Lista369122714122563" displayName="Lista369122714122563" ref="E17:F24" totalsRowCount="1">
  <tableColumns count="2">
    <tableColumn id="1" xr3:uid="{84B2E610-2DA9-C148-9823-3E1142B9E764}" name="Item" totalsRowLabel="Total" totalsRowDxfId="87"/>
    <tableColumn id="4" xr3:uid="{D88E8D62-346E-C64B-9B76-FDEFE1E59E9A}" name="Preço" totalsRowFunction="custom" totalsRowDxfId="86" dataCellStyle="Moeda">
      <totalsRowFormula>SUM(Lista369122714122563[Preço])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17A0379A-C0EB-9744-9884-7C6E1C91D8CC}" name="Lista58112613112764" displayName="Lista58112613112764" ref="H17:I24" totalsRowCount="1">
  <tableColumns count="2">
    <tableColumn id="1" xr3:uid="{8F7E8FF0-CB01-3546-B6A5-D758C1AA4888}" name="Item" totalsRowLabel="Total" totalsRowDxfId="85"/>
    <tableColumn id="4" xr3:uid="{4373F048-BB55-724D-B7B9-CDD34244BA69}" name="Preço" totalsRowFunction="custom" totalsRowDxfId="84" dataCellStyle="Moeda" totalsRowCellStyle="Moeda">
      <totalsRowFormula>SUM(Lista58112613112764[Preço])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B1501720-75C8-5642-AD64-FF95A084A3FC}" name="Lista369122714122877" displayName="Lista369122714122877" ref="K17:L24" totalsRowCount="1">
  <tableColumns count="2">
    <tableColumn id="1" xr3:uid="{BFA10091-57B9-DF4F-80CC-81660D37CFDA}" name="Item" totalsRowLabel="Total" totalsRowDxfId="83"/>
    <tableColumn id="4" xr3:uid="{4FE42054-7D89-5744-A6A3-8CCC4E7A3B1A}" name="Preço" totalsRowFunction="custom" totalsRowDxfId="82" dataCellStyle="Moeda">
      <totalsRowFormula>SUM(Lista369122714122877[Preço])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21173C9C-3706-8043-920D-B29CF4EC80A3}" name="Lista58112613112978" displayName="Lista58112613112978" ref="N17:O24" totalsRowCount="1">
  <tableColumns count="2">
    <tableColumn id="1" xr3:uid="{C7808DC1-2D3B-F34D-8F17-8FCEA0E6B3FD}" name="Item" totalsRowLabel="Total" totalsRowDxfId="81"/>
    <tableColumn id="4" xr3:uid="{1126A37D-9D7B-1749-ADDD-61739E297A2B}" name="Preço" totalsRowFunction="custom" totalsRowDxfId="80" dataCellStyle="Moeda" totalsRowCellStyle="Moeda">
      <totalsRowFormula>SUM(Lista58112613112978[Preço])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1F328675-E761-E246-B71C-5978253D3BE5}" name="Lista369122714123079" displayName="Lista369122714123079" ref="Q17:R24" totalsRowCount="1">
  <tableColumns count="2">
    <tableColumn id="1" xr3:uid="{E0BA5FB9-0A5A-E040-9B33-F49130668CD1}" name="Item" totalsRowLabel="Total" totalsRowDxfId="79"/>
    <tableColumn id="4" xr3:uid="{875A9477-20C4-F54D-91F3-11ED21690AD8}" name="Preço" totalsRowFunction="custom" totalsRowDxfId="78" dataCellStyle="Moeda">
      <totalsRowFormula>SUM(Lista369122714123079[Preço])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59D6A93-42C5-F143-A7C6-649E6270392D}" name="Lista58112613113180" displayName="Lista58112613113180" ref="T17:U24" totalsRowCount="1">
  <tableColumns count="2">
    <tableColumn id="1" xr3:uid="{F709A127-A6C6-AB47-BC2A-0CECD8D8891B}" name="Item" totalsRowLabel="Total" totalsRowDxfId="77"/>
    <tableColumn id="4" xr3:uid="{339AD5CD-F8F9-B44D-B0EC-A4C887C792A4}" name="Preço" totalsRowFunction="custom" totalsRowDxfId="76" dataCellStyle="Moeda" totalsRowCellStyle="Moeda">
      <totalsRowFormula>SUM(Lista58112613113180[Preço])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43187225-3474-4742-B489-ED6B6156F867}" name="Lista369122714123281" displayName="Lista369122714123281" ref="W17:X24" totalsRowCount="1">
  <tableColumns count="2">
    <tableColumn id="1" xr3:uid="{82745E20-1FF2-354B-A196-0EFBD41B1502}" name="Item" totalsRowLabel="Total" totalsRowDxfId="75"/>
    <tableColumn id="4" xr3:uid="{6CF4BE3C-A52F-014A-AF78-FCC7A81F5EFD}" name="Preço" totalsRowFunction="custom" totalsRowDxfId="74" dataCellStyle="Moeda">
      <totalsRowFormula>SUM(Lista369122714123281[Preço])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410BDAC-DD39-AD44-AB1B-BBB403D1E262}" name="Lista58112613113382" displayName="Lista58112613113382" ref="Z17:AA24" totalsRowCount="1">
  <tableColumns count="2">
    <tableColumn id="1" xr3:uid="{650DC669-66EC-0544-8F1E-2DA77A2BFB83}" name="Item" totalsRowLabel="Total" totalsRowDxfId="73"/>
    <tableColumn id="4" xr3:uid="{1CA07012-2C92-684E-B254-BA77B55343F2}" name="Preço" totalsRowFunction="custom" totalsRowDxfId="72" dataCellStyle="Moeda" totalsRowCellStyle="Moeda">
      <totalsRowFormula>SUM(Lista58112613113382[Preço])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7BB5F8E-2C5F-D646-B87F-7E84A3D546BF}" name="Lista369122714123483" displayName="Lista369122714123483" ref="AC17:AD24" totalsRowCount="1">
  <tableColumns count="2">
    <tableColumn id="1" xr3:uid="{7BA0842C-7E77-FF45-9D5F-3B32036FF7F9}" name="Item" totalsRowLabel="Total" totalsRowDxfId="71"/>
    <tableColumn id="4" xr3:uid="{14C7A170-F423-CE4D-8092-BD7B4F74D0F4}" name="Preço" totalsRowFunction="custom" totalsRowDxfId="70" dataCellStyle="Moeda">
      <totalsRowFormula>SUM(Lista369122714123483[Preço])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3484A8C4-284B-954C-BF93-3777330CCBB0}" name="Lista58112613113584" displayName="Lista58112613113584" ref="AF17:AG24" totalsRowCount="1">
  <tableColumns count="2">
    <tableColumn id="1" xr3:uid="{5D3289C7-DE67-284F-BCF5-1A871D42493C}" name="Item" totalsRowLabel="Total" totalsRowDxfId="69"/>
    <tableColumn id="4" xr3:uid="{E0F3865A-4CF0-9948-81AC-EC05E4B83EB9}" name="Preço" totalsRowFunction="custom" totalsRowDxfId="68" dataCellStyle="Moeda" totalsRowCellStyle="Moeda">
      <totalsRowFormula>SUM(Lista58112613113584[Preço])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B05DDED7-2301-184F-AAFE-0FFC222EFAB3}" name="Lista369122714123685" displayName="Lista369122714123685" ref="AI17:AJ24" totalsRowCount="1">
  <tableColumns count="2">
    <tableColumn id="1" xr3:uid="{591AAB9C-BACF-8846-B1B6-49512304BE8A}" name="Item" totalsRowLabel="Total" totalsRowDxfId="67"/>
    <tableColumn id="4" xr3:uid="{7F7D5481-5AA4-9B45-BCE2-16105BB5AD8F}" name="Preço" totalsRowFunction="custom" totalsRowDxfId="66" dataCellStyle="Moeda">
      <totalsRowFormula>SUM(Lista369122714123685[Preço])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299ACD0-C9F7-4434-B27C-7F44BF676579}" name="Lista58112613" displayName="Lista58112613" ref="B4:C11" totalsRowCount="1">
  <tableColumns count="2">
    <tableColumn id="1" xr3:uid="{29392B8A-AA85-48FC-BF41-9F1D393437EF}" name="Item" totalsRowLabel="Total" totalsRowDxfId="65"/>
    <tableColumn id="4" xr3:uid="{A4C9B6CA-3AEB-4C6A-9066-7516D408047D}" name="Preço" totalsRowFunction="custom" totalsRowDxfId="64" dataCellStyle="Moeda" totalsRowCellStyle="Moeda">
      <totalsRowFormula>SUM(Lista58112613[Preço])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3DACFD6-A162-4D81-9375-AFB692B2690F}" name="Lista369122714" displayName="Lista369122714" ref="E4:F11" totalsRowCount="1">
  <tableColumns count="2">
    <tableColumn id="1" xr3:uid="{41A99892-B869-46F3-9E74-1A8A26423E74}" name="Item" totalsRowLabel="Total" totalsRowDxfId="63"/>
    <tableColumn id="4" xr3:uid="{F58ABAD8-CFA5-4EB8-AD12-7EFFCFA4FC93}" name="Preço" totalsRowFunction="custom" totalsRowDxfId="62" dataCellStyle="Moeda">
      <totalsRowFormula>SUM(Lista369122714[Preço])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DEACB65-43D7-4EB2-A1BF-56516D30C7DB}" name="Lista5811261311" displayName="Lista5811261311" ref="H4:I11" totalsRowCount="1">
  <tableColumns count="2">
    <tableColumn id="1" xr3:uid="{63F3CDDF-4429-476E-9780-BF39EAC97305}" name="Item" totalsRowLabel="Total" totalsRowDxfId="61"/>
    <tableColumn id="4" xr3:uid="{9DF6E5F7-A40D-4E50-BA23-504CFB706811}" name="Preço" totalsRowFunction="custom" totalsRowDxfId="60" dataCellStyle="Moeda" totalsRowCellStyle="Moeda">
      <totalsRowFormula>SUM(Lista5811261311[Preço])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BA0B0CD-C83D-47D9-AED1-D9059A51A6EE}" name="Lista36912271412" displayName="Lista36912271412" ref="K4:L11" totalsRowCount="1">
  <tableColumns count="2">
    <tableColumn id="1" xr3:uid="{A7E5DC01-A87B-409E-96CA-C3867A94C5AC}" name="Item" totalsRowLabel="Total" totalsRowDxfId="59"/>
    <tableColumn id="4" xr3:uid="{3115FB12-3379-4316-8741-EDA15610AC2D}" name="Preço" totalsRowFunction="custom" totalsRowDxfId="58" dataCellStyle="Moeda">
      <totalsRowFormula>SUM(Lista36912271412[Preço])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6EA2914-41BD-45FC-9CF6-715B83DD787F}" name="Lista581126131115" displayName="Lista581126131115" ref="N4:O11" totalsRowCount="1">
  <tableColumns count="2">
    <tableColumn id="1" xr3:uid="{A6677111-87ED-4641-A906-99DB209FCF1A}" name="Item" totalsRowLabel="Total" totalsRowDxfId="57"/>
    <tableColumn id="4" xr3:uid="{A22AD3DA-57F0-4FEE-B3D0-36CA80BE3D48}" name="Preço" totalsRowFunction="custom" totalsRowDxfId="56" dataCellStyle="Moeda">
      <totalsRowFormula>SUM(Lista581126131115[Preço])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D12B656-566F-4BB1-9743-D01887619C4E}" name="Lista3691227141216" displayName="Lista3691227141216" ref="Q4:R11" totalsRowCount="1">
  <tableColumns count="2">
    <tableColumn id="1" xr3:uid="{E2F8A348-A068-4A01-98B7-D7AA119C6183}" name="Item" totalsRowLabel="Total" totalsRowDxfId="55"/>
    <tableColumn id="4" xr3:uid="{0A0C1585-7BE3-4A94-A65F-188C859786E9}" name="Preço" totalsRowFunction="custom" totalsRowDxfId="54" dataCellStyle="Moeda">
      <totalsRowFormula>SUM(Lista3691227141216[Preço])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79064F8-9940-4CC2-9040-884B77021046}" name="Lista581126131117" displayName="Lista581126131117" ref="T4:U11" totalsRowCount="1">
  <tableColumns count="2">
    <tableColumn id="1" xr3:uid="{06F0E89F-382A-4F07-8BA1-8C841283868B}" name="Item" totalsRowLabel="Total" totalsRowDxfId="53"/>
    <tableColumn id="4" xr3:uid="{5EAECFC9-7FFA-4CB2-ABE9-90E83FB6ABA8}" name="Preço" totalsRowFunction="custom" totalsRowDxfId="52" dataCellStyle="Moeda">
      <totalsRowFormula>SUM(Lista581126131117[Preço])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C1E2D09-45CC-4DE4-B58B-3351CCDFE3B5}" name="Lista3691227141219" displayName="Lista3691227141219" ref="W4:X11" totalsRowCount="1">
  <tableColumns count="2">
    <tableColumn id="1" xr3:uid="{6898EEFA-E65E-4AFC-A116-86E6BBE28C9F}" name="Item" totalsRowLabel="Total" totalsRowDxfId="51"/>
    <tableColumn id="4" xr3:uid="{FAD42969-0D05-4883-B27B-4C663851809F}" name="Preço" totalsRowFunction="custom" totalsRowDxfId="50" dataCellStyle="Moeda">
      <totalsRowFormula>SUM(Lista3691227141219[Preço])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0D7DA3D-67AB-4676-8C75-29140568A63F}" name="Lista581126131120" displayName="Lista581126131120" ref="Z4:AA11" totalsRowCount="1">
  <tableColumns count="2">
    <tableColumn id="1" xr3:uid="{7E47833C-D4F8-49BE-B97C-D4B2F1B1119D}" name="Item" totalsRowLabel="Total" totalsRowDxfId="49"/>
    <tableColumn id="4" xr3:uid="{E323214E-C58B-4856-AE46-F0EA6DBE613B}" name="Preço" totalsRowFunction="custom" totalsRowDxfId="48" dataCellStyle="Moeda">
      <totalsRowFormula>SUM(Lista581126131120[Preço])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7B9EF82A-04A6-47EC-935E-E627DD5C7A1A}" name="Lista3691227141221" displayName="Lista3691227141221" ref="AC4:AD11" totalsRowCount="1">
  <tableColumns count="2">
    <tableColumn id="1" xr3:uid="{B8A95783-F966-46BF-B690-299A0301F65D}" name="Item" totalsRowLabel="Total" totalsRowDxfId="47"/>
    <tableColumn id="4" xr3:uid="{2C1BA045-CDD3-4176-8293-C8E6FA9426CE}" name="Preço" totalsRowFunction="custom" totalsRowDxfId="46" dataCellStyle="Moeda">
      <totalsRowFormula>SUM(Lista3691227141221[Preço])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825F462-8529-4BEF-8D0F-E2B966ABE2EB}" name="Lista581126131122" displayName="Lista581126131122" ref="AF4:AG11" totalsRowCount="1">
  <tableColumns count="2">
    <tableColumn id="1" xr3:uid="{47E0AC32-6567-4E93-B18B-051A330B02DB}" name="Item" totalsRowLabel="Total" totalsRowDxfId="45"/>
    <tableColumn id="4" xr3:uid="{0A3A2798-2359-43D6-A6CC-3F1CE96FA417}" name="Preço" totalsRowFunction="custom" totalsRowDxfId="44" dataCellStyle="Moeda">
      <totalsRowFormula>SUM(Lista581126131122[Preço])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A984B576-A4F6-4653-BFFF-07BE37BF2FED}" name="Lista3691227141223" displayName="Lista3691227141223" ref="AI4:AJ11" totalsRowCount="1">
  <tableColumns count="2">
    <tableColumn id="1" xr3:uid="{F3926A90-1CD7-4828-9467-0005DE55EAC2}" name="Item" totalsRowLabel="Total" totalsRowDxfId="43"/>
    <tableColumn id="4" xr3:uid="{42FAF201-CA78-463B-A458-D2B28860E78F}" name="Preço" totalsRowFunction="custom" totalsRowDxfId="42" dataCellStyle="Moeda">
      <totalsRowFormula>SUM(Lista3691227141223[Preço])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F80CA7E-B8FC-457E-9679-FAA4034085E4}" name="Lista581126131124" displayName="Lista581126131124" ref="B17:C24" totalsRowCount="1">
  <tableColumns count="2">
    <tableColumn id="1" xr3:uid="{38D07DB7-9BA2-4AD0-ACB9-1E346D6B6881}" name="Item" totalsRowLabel="Total" totalsRowDxfId="41"/>
    <tableColumn id="4" xr3:uid="{4E51C0B1-9FEE-42B7-99E4-D2131A04C148}" name="Preço" totalsRowFunction="custom" totalsRowDxfId="40" dataCellStyle="Moeda" totalsRowCellStyle="Moeda">
      <totalsRowFormula>SUM(Lista581126131124[Preço])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2F555736-C5E5-475B-AA7B-8D0D21BC33A2}" name="Lista3691227141225" displayName="Lista3691227141225" ref="E17:F24" totalsRowCount="1">
  <tableColumns count="2">
    <tableColumn id="1" xr3:uid="{E4830807-6982-4CD2-9D55-5DB4028CB39F}" name="Item" totalsRowLabel="Total" totalsRowDxfId="39"/>
    <tableColumn id="4" xr3:uid="{E74A3D1E-26FE-4D76-943F-3BDA84BBC45A}" name="Preço" totalsRowFunction="custom" totalsRowDxfId="38" dataCellStyle="Moeda">
      <totalsRowFormula>SUM(Lista3691227141225[Preço])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C900348F-0356-46B6-8156-74F2552D4437}" name="Lista581126131127" displayName="Lista581126131127" ref="H17:I24" totalsRowCount="1">
  <tableColumns count="2">
    <tableColumn id="1" xr3:uid="{C7AEDAA4-2A31-4920-AC63-B2506E6D9EC0}" name="Item" totalsRowLabel="Total" totalsRowDxfId="37"/>
    <tableColumn id="4" xr3:uid="{FAF3FE4E-BE41-4BF0-8C39-C3AC32309717}" name="Preço" totalsRowFunction="custom" totalsRowDxfId="36" dataCellStyle="Moeda" totalsRowCellStyle="Moeda">
      <totalsRowFormula>SUM(Lista581126131127[Preço])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62FC42FE-E3F7-480D-A90C-D7AD9DAC9F72}" name="Lista3691227141228" displayName="Lista3691227141228" ref="K17:L24" totalsRowCount="1">
  <tableColumns count="2">
    <tableColumn id="1" xr3:uid="{8A1B6A21-2FD3-46C8-8FED-05554486CAB9}" name="Item" totalsRowLabel="Total" totalsRowDxfId="35"/>
    <tableColumn id="4" xr3:uid="{1B00BD8F-2BDD-40C0-AF1F-94215C843A94}" name="Preço" totalsRowFunction="custom" totalsRowDxfId="34" dataCellStyle="Moeda">
      <totalsRowFormula>SUM(Lista3691227141228[Preço])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CDCCC3D8-3C7B-4686-BBC2-83D868035D66}" name="Lista581126131129" displayName="Lista581126131129" ref="N17:O24" totalsRowCount="1">
  <tableColumns count="2">
    <tableColumn id="1" xr3:uid="{892CB9A5-4628-45EC-8141-3C1A537D50A3}" name="Item" totalsRowLabel="Total" totalsRowDxfId="33"/>
    <tableColumn id="4" xr3:uid="{BA15B3FB-7631-4427-AAAA-7FECD62D4643}" name="Preço" totalsRowFunction="custom" totalsRowDxfId="32" dataCellStyle="Moeda" totalsRowCellStyle="Moeda">
      <totalsRowFormula>SUM(Lista581126131129[Preço])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F7DF271-EF19-4A41-B2F9-1EF0E788EB80}" name="Lista3691227141230" displayName="Lista3691227141230" ref="Q17:R24" totalsRowCount="1">
  <tableColumns count="2">
    <tableColumn id="1" xr3:uid="{061CF10D-350F-45E9-9A41-51B3B0E94EC3}" name="Item" totalsRowLabel="Total" totalsRowDxfId="31"/>
    <tableColumn id="4" xr3:uid="{D8386950-64D8-434E-BC17-ADBBA62632AD}" name="Preço" totalsRowFunction="custom" totalsRowDxfId="30" dataCellStyle="Moeda">
      <totalsRowFormula>SUM(Lista3691227141230[Preço])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2E41537D-6212-4AE5-A922-387C41FB36D6}" name="Lista581126131131" displayName="Lista581126131131" ref="T17:U24" totalsRowCount="1">
  <tableColumns count="2">
    <tableColumn id="1" xr3:uid="{8505DB91-BD1E-4995-A47A-713308B8A22D}" name="Item" totalsRowLabel="Total" totalsRowDxfId="29"/>
    <tableColumn id="4" xr3:uid="{EF861B55-DE6B-4811-8C0B-0D8ACE527102}" name="Preço" totalsRowFunction="custom" totalsRowDxfId="28" dataCellStyle="Moeda" totalsRowCellStyle="Moeda">
      <totalsRowFormula>SUM(Lista581126131131[Preço])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F425742-777C-4D56-8B6D-8F991FB88DBA}" name="Lista3691227141232" displayName="Lista3691227141232" ref="W17:X24" totalsRowCount="1">
  <tableColumns count="2">
    <tableColumn id="1" xr3:uid="{344FCBA4-18E2-4F3C-B3F7-40A32E91C52C}" name="Item" totalsRowLabel="Total" totalsRowDxfId="27"/>
    <tableColumn id="4" xr3:uid="{B0DA341E-93BA-4CE3-B334-7A732C2F4E01}" name="Preço" totalsRowFunction="custom" totalsRowDxfId="26" dataCellStyle="Moeda">
      <totalsRowFormula>SUM(Lista3691227141232[Preço])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2E06FB40-CEC7-4678-90B9-38927AB6BAF6}" name="Lista581126131133" displayName="Lista581126131133" ref="Z17:AA24" totalsRowCount="1">
  <tableColumns count="2">
    <tableColumn id="1" xr3:uid="{5D5980EF-5821-43DE-AD69-C3E9F11832EC}" name="Item" totalsRowLabel="Total" totalsRowDxfId="25"/>
    <tableColumn id="4" xr3:uid="{1A4FE977-D370-49B6-880A-346095E34482}" name="Preço" totalsRowFunction="custom" totalsRowDxfId="24" dataCellStyle="Moeda" totalsRowCellStyle="Moeda">
      <totalsRowFormula>SUM(Lista581126131133[Preço])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43D3707-AC47-440B-A330-DD241BD391C2}" name="Lista3691227141234" displayName="Lista3691227141234" ref="AC17:AD24" totalsRowCount="1">
  <tableColumns count="2">
    <tableColumn id="1" xr3:uid="{787DD614-96C2-44DC-BD0C-48093D1D5DC3}" name="Item" totalsRowLabel="Total" totalsRowDxfId="23"/>
    <tableColumn id="4" xr3:uid="{D2864CEB-4BA3-4FFE-950B-43FFC0CCD3D2}" name="Preço" totalsRowFunction="custom" totalsRowDxfId="22" dataCellStyle="Moeda">
      <totalsRowFormula>SUM(Lista3691227141234[Preço])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F3D7D45-5CC8-4ACA-A2C8-5CDE1A170FD3}" name="Lista581126131135" displayName="Lista581126131135" ref="AF17:AG24" totalsRowCount="1">
  <tableColumns count="2">
    <tableColumn id="1" xr3:uid="{08A3EB57-C431-4BAC-9135-B583B78DFA71}" name="Item" totalsRowLabel="Total" totalsRowDxfId="21"/>
    <tableColumn id="4" xr3:uid="{0513A0CA-F5A9-407E-9D81-4EB5AC613552}" name="Preço" totalsRowFunction="custom" totalsRowDxfId="20" dataCellStyle="Moeda" totalsRowCellStyle="Moeda">
      <totalsRowFormula>SUM(Lista581126131135[Preço])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AFDCE24A-EAF3-4114-BCDF-5C3B31BB8319}" name="Lista3691227141236" displayName="Lista3691227141236" ref="AI17:AJ24" totalsRowCount="1">
  <tableColumns count="2">
    <tableColumn id="1" xr3:uid="{BF18F258-5287-4A7B-92DD-EF7CBACDFEFA}" name="Item" totalsRowLabel="Total" totalsRowDxfId="19"/>
    <tableColumn id="4" xr3:uid="{3281CB8C-4FD0-46B0-8117-AEC74E8D18A1}" name="Preço" totalsRowFunction="custom" totalsRowDxfId="18" dataCellStyle="Moeda">
      <totalsRowFormula>SUM(Lista3691227141236[Preço])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a" displayName="Lista" ref="B4:C11" totalsRowCount="1">
  <autoFilter ref="B4:C10" xr:uid="{00000000-0009-0000-0100-000001000000}">
    <filterColumn colId="0" hiddenButton="1"/>
    <filterColumn colId="1" hiddenButton="1"/>
  </autoFilter>
  <tableColumns count="2">
    <tableColumn id="1" xr3:uid="{00000000-0010-0000-0000-000001000000}" name="Item" totalsRowLabel="Total" totalsRowDxfId="17"/>
    <tableColumn id="4" xr3:uid="{00000000-0010-0000-0000-000004000000}" name="Preço" totalsRowFunction="custom" totalsRowDxfId="16" dataCellStyle="Moeda">
      <totalsRowFormula>SUM(Lista[Preço])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EE4689-8360-C24B-ACC4-14F220B0D6CB}" name="Lista3" displayName="Lista3" ref="F4:G12" totalsRowCount="1">
  <autoFilter ref="F4:G11" xr:uid="{6EEE4689-8360-C24B-ACC4-14F220B0D6CB}">
    <filterColumn colId="0" hiddenButton="1"/>
    <filterColumn colId="1" hiddenButton="1"/>
  </autoFilter>
  <tableColumns count="2">
    <tableColumn id="1" xr3:uid="{3B2458C5-A901-A947-BCBC-E7797EE4C887}" name="Item" totalsRowLabel="Total" totalsRowDxfId="15"/>
    <tableColumn id="4" xr3:uid="{8DA4D5A3-0508-2C49-8CE1-B4097587571A}" name="Preço" totalsRowFunction="custom" totalsRowDxfId="14" dataCellStyle="Moeda" totalsRowCellStyle="Moeda">
      <totalsRowFormula>SUM(Lista3[Preço])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A0A5EF-E1D8-8844-9CC2-6F672B6FAA2A}" name="Lista34" displayName="Lista34" ref="F17:G24" totalsRowCount="1">
  <autoFilter ref="F17:G23" xr:uid="{2AA0A5EF-E1D8-8844-9CC2-6F672B6FAA2A}"/>
  <tableColumns count="2">
    <tableColumn id="1" xr3:uid="{C3571EAE-B70D-4E4B-B7DE-275FDD05D454}" name="Item" totalsRowLabel="Total" totalsRowDxfId="13"/>
    <tableColumn id="4" xr3:uid="{A2AA82C9-ED9B-F14D-9B08-E05EF2F65917}" name="Preço" totalsRowFunction="custom" totalsRowDxfId="12" dataCellStyle="Moeda" totalsRowCellStyle="Moeda">
      <totalsRowFormula>SUM(Lista34[Preço])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EF20E14-0AD7-4459-AF6F-7B790ACADE88}" name="Lista5" displayName="Lista5" ref="J4:K11" totalsRowCount="1">
  <autoFilter ref="J4:K10" xr:uid="{4EF20E14-0AD7-4459-AF6F-7B790ACADE88}">
    <filterColumn colId="0" hiddenButton="1"/>
    <filterColumn colId="1" hiddenButton="1"/>
  </autoFilter>
  <tableColumns count="2">
    <tableColumn id="1" xr3:uid="{1FC822D8-0B0E-4518-BF7C-3EF39C1B89D6}" name="Item" totalsRowLabel="Total" totalsRowDxfId="11"/>
    <tableColumn id="4" xr3:uid="{8FC8048F-1ADB-465C-865B-B0A6A33ADF01}" name="Preço" totalsRowFunction="custom" totalsRowDxfId="10" dataCellStyle="Moeda" totalsRowCellStyle="Moeda">
      <totalsRowFormula>SUM(Lista5[Preço])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6CC178A-3E24-44CC-A44A-2A164948DB24}" name="Lista36" displayName="Lista36" ref="N4:O11" totalsRowCount="1">
  <autoFilter ref="N4:O10" xr:uid="{A6CC178A-3E24-44CC-A44A-2A164948DB24}">
    <filterColumn colId="0" hiddenButton="1"/>
    <filterColumn colId="1" hiddenButton="1"/>
  </autoFilter>
  <tableColumns count="2">
    <tableColumn id="1" xr3:uid="{9D58C6A9-C514-4F34-8245-B1F8B94C6B15}" name="Item" totalsRowLabel="Total" totalsRowDxfId="9"/>
    <tableColumn id="4" xr3:uid="{83CCB83F-9751-4C22-BEBC-4395F67C9648}" name="Preço" totalsRowFunction="custom" totalsRowDxfId="8" dataCellStyle="Moeda" totalsRowCellStyle="Moeda">
      <totalsRowFormula>SUM(Lista36[Preço])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2B3AE7-5A58-4B1C-B586-5E4A9CA32D98}" name="Lista347" displayName="Lista347" ref="N16:O24" totalsRowCount="1">
  <autoFilter ref="N16:O23" xr:uid="{A62B3AE7-5A58-4B1C-B586-5E4A9CA32D98}">
    <filterColumn colId="0" hiddenButton="1"/>
    <filterColumn colId="1" hiddenButton="1"/>
  </autoFilter>
  <tableColumns count="2">
    <tableColumn id="1" xr3:uid="{12C1CA30-7752-46AF-BAA5-202EC650F08C}" name="Item" totalsRowLabel="Total" totalsRowDxfId="7"/>
    <tableColumn id="4" xr3:uid="{39AC4804-790D-4826-BDBF-2C45632189E3}" name="Preço" totalsRowFunction="custom" totalsRowDxfId="6" dataCellStyle="Moeda" totalsRowCellStyle="Moeda">
      <totalsRowFormula>SUM(Lista347[Preço])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F9F1FF7-33A6-4FE1-B810-14726DF120E5}" name="Lista58" displayName="Lista58" ref="R4:S11" totalsRowCount="1">
  <autoFilter ref="R4:S10" xr:uid="{EF9F1FF7-33A6-4FE1-B810-14726DF120E5}">
    <filterColumn colId="0" hiddenButton="1"/>
    <filterColumn colId="1" hiddenButton="1"/>
  </autoFilter>
  <tableColumns count="2">
    <tableColumn id="1" xr3:uid="{BDB0BFEC-04EA-4A32-8F1C-4A36D1B209B5}" name="Item" totalsRowDxfId="5"/>
    <tableColumn id="4" xr3:uid="{9172378B-CD1A-4BCA-BD55-2FEC4470EEDD}" name="Preço" totalsRowDxfId="4" dataCellStyle="Moeda" totalsRowCellStyle="Moeda"/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ADD7C34-5E3C-44D2-B14D-FDA479D63608}" name="Lista369" displayName="Lista369" ref="V4:W11" totalsRowCount="1">
  <autoFilter ref="V4:W10" xr:uid="{6ADD7C34-5E3C-44D2-B14D-FDA479D63608}">
    <filterColumn colId="0" hiddenButton="1"/>
    <filterColumn colId="1" hiddenButton="1"/>
  </autoFilter>
  <tableColumns count="2">
    <tableColumn id="1" xr3:uid="{D5BBB728-39FD-434F-B66D-8CE111287AEE}" name="Item" totalsRowLabel="Total" totalsRowDxfId="3"/>
    <tableColumn id="4" xr3:uid="{577D6F4C-F2E0-44F2-A1E6-29E772BB36BC}" name="Preço" totalsRowFunction="custom" totalsRowDxfId="2" dataCellStyle="Moeda" totalsRowCellStyle="Moeda">
      <totalsRowFormula>SUM(Lista369[Preço])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640A3AD-B145-4818-9325-F7771949F97E}" name="Lista34710" displayName="Lista34710" ref="V16:W23" totalsRowCount="1">
  <autoFilter ref="V16:W22" xr:uid="{2640A3AD-B145-4818-9325-F7771949F97E}"/>
  <tableColumns count="2">
    <tableColumn id="1" xr3:uid="{65448E22-4D52-4C69-A0F3-C3F8D9AB4970}" name="Item" totalsRowLabel="Total" totalsRowDxfId="1"/>
    <tableColumn id="4" xr3:uid="{9A80ECE0-CFF7-48B9-A46B-042E28F9FB7E}" name="Preço" totalsRowFunction="custom" totalsRowDxfId="0" dataCellStyle="Moeda" totalsRowCellStyle="Moeda">
      <totalsRowFormula>SUM(Lista34710[Preço])</totalsRowFormula>
    </tableColumn>
  </tableColumns>
  <tableStyleInfo name="Lista Calculada" showFirstColumn="1" showLastColumn="0" showRowStripes="1" showColumnStripes="0"/>
  <extLst>
    <ext xmlns:x14="http://schemas.microsoft.com/office/spreadsheetml/2009/9/main" uri="{504A1905-F514-4f6f-8877-14C23A59335A}">
      <x14:table altTextSummary="Insira itens e custo total na tabela Lista."/>
    </ext>
  </extLst>
</table>
</file>

<file path=xl/theme/theme1.xml><?xml version="1.0" encoding="utf-8"?>
<a:theme xmlns:a="http://schemas.openxmlformats.org/drawingml/2006/main" name="Office Theme">
  <a:themeElements>
    <a:clrScheme name="To Do List">
      <a:dk1>
        <a:sysClr val="windowText" lastClr="000000"/>
      </a:dk1>
      <a:lt1>
        <a:sysClr val="window" lastClr="FFFFFF"/>
      </a:lt1>
      <a:dk2>
        <a:srgbClr val="140545"/>
      </a:dk2>
      <a:lt2>
        <a:srgbClr val="FEF2E5"/>
      </a:lt2>
      <a:accent1>
        <a:srgbClr val="EA4193"/>
      </a:accent1>
      <a:accent2>
        <a:srgbClr val="F49129"/>
      </a:accent2>
      <a:accent3>
        <a:srgbClr val="93BF2B"/>
      </a:accent3>
      <a:accent4>
        <a:srgbClr val="31A0C5"/>
      </a:accent4>
      <a:accent5>
        <a:srgbClr val="DEC53B"/>
      </a:accent5>
      <a:accent6>
        <a:srgbClr val="724F97"/>
      </a:accent6>
      <a:hlink>
        <a:srgbClr val="31A0C5"/>
      </a:hlink>
      <a:folHlink>
        <a:srgbClr val="724F97"/>
      </a:folHlink>
    </a:clrScheme>
    <a:fontScheme name="To Do Lis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0.xml"/><Relationship Id="rId13" Type="http://schemas.openxmlformats.org/officeDocument/2006/relationships/table" Target="../tables/table25.xml"/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12" Type="http://schemas.openxmlformats.org/officeDocument/2006/relationships/table" Target="../tables/table24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8.xml"/><Relationship Id="rId11" Type="http://schemas.openxmlformats.org/officeDocument/2006/relationships/table" Target="../tables/table23.xml"/><Relationship Id="rId5" Type="http://schemas.openxmlformats.org/officeDocument/2006/relationships/table" Target="../tables/table17.xml"/><Relationship Id="rId15" Type="http://schemas.openxmlformats.org/officeDocument/2006/relationships/table" Target="../tables/table27.xml"/><Relationship Id="rId10" Type="http://schemas.openxmlformats.org/officeDocument/2006/relationships/table" Target="../tables/table22.xml"/><Relationship Id="rId4" Type="http://schemas.openxmlformats.org/officeDocument/2006/relationships/table" Target="../tables/table16.xml"/><Relationship Id="rId9" Type="http://schemas.openxmlformats.org/officeDocument/2006/relationships/table" Target="../tables/table21.xml"/><Relationship Id="rId14" Type="http://schemas.openxmlformats.org/officeDocument/2006/relationships/table" Target="../tables/table26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5.xml"/><Relationship Id="rId13" Type="http://schemas.openxmlformats.org/officeDocument/2006/relationships/table" Target="../tables/table40.xml"/><Relationship Id="rId18" Type="http://schemas.openxmlformats.org/officeDocument/2006/relationships/table" Target="../tables/table45.xml"/><Relationship Id="rId3" Type="http://schemas.openxmlformats.org/officeDocument/2006/relationships/table" Target="../tables/table30.xml"/><Relationship Id="rId21" Type="http://schemas.openxmlformats.org/officeDocument/2006/relationships/table" Target="../tables/table48.xml"/><Relationship Id="rId7" Type="http://schemas.openxmlformats.org/officeDocument/2006/relationships/table" Target="../tables/table34.xml"/><Relationship Id="rId12" Type="http://schemas.openxmlformats.org/officeDocument/2006/relationships/table" Target="../tables/table39.xml"/><Relationship Id="rId17" Type="http://schemas.openxmlformats.org/officeDocument/2006/relationships/table" Target="../tables/table44.xml"/><Relationship Id="rId2" Type="http://schemas.openxmlformats.org/officeDocument/2006/relationships/table" Target="../tables/table29.xml"/><Relationship Id="rId16" Type="http://schemas.openxmlformats.org/officeDocument/2006/relationships/table" Target="../tables/table43.xml"/><Relationship Id="rId20" Type="http://schemas.openxmlformats.org/officeDocument/2006/relationships/table" Target="../tables/table47.xml"/><Relationship Id="rId1" Type="http://schemas.openxmlformats.org/officeDocument/2006/relationships/table" Target="../tables/table28.xml"/><Relationship Id="rId6" Type="http://schemas.openxmlformats.org/officeDocument/2006/relationships/table" Target="../tables/table33.xml"/><Relationship Id="rId11" Type="http://schemas.openxmlformats.org/officeDocument/2006/relationships/table" Target="../tables/table38.xml"/><Relationship Id="rId24" Type="http://schemas.openxmlformats.org/officeDocument/2006/relationships/table" Target="../tables/table51.xml"/><Relationship Id="rId5" Type="http://schemas.openxmlformats.org/officeDocument/2006/relationships/table" Target="../tables/table32.xml"/><Relationship Id="rId15" Type="http://schemas.openxmlformats.org/officeDocument/2006/relationships/table" Target="../tables/table42.xml"/><Relationship Id="rId23" Type="http://schemas.openxmlformats.org/officeDocument/2006/relationships/table" Target="../tables/table50.xml"/><Relationship Id="rId10" Type="http://schemas.openxmlformats.org/officeDocument/2006/relationships/table" Target="../tables/table37.xml"/><Relationship Id="rId19" Type="http://schemas.openxmlformats.org/officeDocument/2006/relationships/table" Target="../tables/table46.xml"/><Relationship Id="rId4" Type="http://schemas.openxmlformats.org/officeDocument/2006/relationships/table" Target="../tables/table31.xml"/><Relationship Id="rId9" Type="http://schemas.openxmlformats.org/officeDocument/2006/relationships/table" Target="../tables/table36.xml"/><Relationship Id="rId14" Type="http://schemas.openxmlformats.org/officeDocument/2006/relationships/table" Target="../tables/table41.xml"/><Relationship Id="rId22" Type="http://schemas.openxmlformats.org/officeDocument/2006/relationships/table" Target="../tables/table49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9.xml"/><Relationship Id="rId13" Type="http://schemas.openxmlformats.org/officeDocument/2006/relationships/table" Target="../tables/table64.xml"/><Relationship Id="rId18" Type="http://schemas.openxmlformats.org/officeDocument/2006/relationships/table" Target="../tables/table69.xml"/><Relationship Id="rId3" Type="http://schemas.openxmlformats.org/officeDocument/2006/relationships/table" Target="../tables/table54.xml"/><Relationship Id="rId21" Type="http://schemas.openxmlformats.org/officeDocument/2006/relationships/table" Target="../tables/table72.xml"/><Relationship Id="rId7" Type="http://schemas.openxmlformats.org/officeDocument/2006/relationships/table" Target="../tables/table58.xml"/><Relationship Id="rId12" Type="http://schemas.openxmlformats.org/officeDocument/2006/relationships/table" Target="../tables/table63.xml"/><Relationship Id="rId17" Type="http://schemas.openxmlformats.org/officeDocument/2006/relationships/table" Target="../tables/table68.xml"/><Relationship Id="rId2" Type="http://schemas.openxmlformats.org/officeDocument/2006/relationships/table" Target="../tables/table53.xml"/><Relationship Id="rId16" Type="http://schemas.openxmlformats.org/officeDocument/2006/relationships/table" Target="../tables/table67.xml"/><Relationship Id="rId20" Type="http://schemas.openxmlformats.org/officeDocument/2006/relationships/table" Target="../tables/table71.xml"/><Relationship Id="rId1" Type="http://schemas.openxmlformats.org/officeDocument/2006/relationships/table" Target="../tables/table52.xml"/><Relationship Id="rId6" Type="http://schemas.openxmlformats.org/officeDocument/2006/relationships/table" Target="../tables/table57.xml"/><Relationship Id="rId11" Type="http://schemas.openxmlformats.org/officeDocument/2006/relationships/table" Target="../tables/table62.xml"/><Relationship Id="rId24" Type="http://schemas.openxmlformats.org/officeDocument/2006/relationships/table" Target="../tables/table75.xml"/><Relationship Id="rId5" Type="http://schemas.openxmlformats.org/officeDocument/2006/relationships/table" Target="../tables/table56.xml"/><Relationship Id="rId15" Type="http://schemas.openxmlformats.org/officeDocument/2006/relationships/table" Target="../tables/table66.xml"/><Relationship Id="rId23" Type="http://schemas.openxmlformats.org/officeDocument/2006/relationships/table" Target="../tables/table74.xml"/><Relationship Id="rId10" Type="http://schemas.openxmlformats.org/officeDocument/2006/relationships/table" Target="../tables/table61.xml"/><Relationship Id="rId19" Type="http://schemas.openxmlformats.org/officeDocument/2006/relationships/table" Target="../tables/table70.xml"/><Relationship Id="rId4" Type="http://schemas.openxmlformats.org/officeDocument/2006/relationships/table" Target="../tables/table55.xml"/><Relationship Id="rId9" Type="http://schemas.openxmlformats.org/officeDocument/2006/relationships/table" Target="../tables/table60.xml"/><Relationship Id="rId14" Type="http://schemas.openxmlformats.org/officeDocument/2006/relationships/table" Target="../tables/table65.xml"/><Relationship Id="rId22" Type="http://schemas.openxmlformats.org/officeDocument/2006/relationships/table" Target="../tables/table73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1.xml"/><Relationship Id="rId3" Type="http://schemas.openxmlformats.org/officeDocument/2006/relationships/table" Target="../tables/table76.xml"/><Relationship Id="rId7" Type="http://schemas.openxmlformats.org/officeDocument/2006/relationships/table" Target="../tables/table80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79.xml"/><Relationship Id="rId11" Type="http://schemas.openxmlformats.org/officeDocument/2006/relationships/table" Target="../tables/table84.xml"/><Relationship Id="rId5" Type="http://schemas.openxmlformats.org/officeDocument/2006/relationships/table" Target="../tables/table78.xml"/><Relationship Id="rId10" Type="http://schemas.openxmlformats.org/officeDocument/2006/relationships/table" Target="../tables/table83.xml"/><Relationship Id="rId4" Type="http://schemas.openxmlformats.org/officeDocument/2006/relationships/table" Target="../tables/table77.xml"/><Relationship Id="rId9" Type="http://schemas.openxmlformats.org/officeDocument/2006/relationships/table" Target="../tables/table8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2351F-E113-4AAF-90A5-AB50B82193FB}">
  <sheetPr>
    <tabColor theme="1"/>
    <pageSetUpPr fitToPage="1"/>
  </sheetPr>
  <dimension ref="B1:Z45"/>
  <sheetViews>
    <sheetView showGridLines="0" topLeftCell="A31" zoomScaleNormal="100" workbookViewId="0">
      <selection activeCell="C34" sqref="C34"/>
    </sheetView>
  </sheetViews>
  <sheetFormatPr defaultColWidth="8.85546875" defaultRowHeight="30" customHeight="1" x14ac:dyDescent="0.25"/>
  <cols>
    <col min="1" max="1" width="5.42578125" customWidth="1"/>
    <col min="2" max="2" width="20.7109375" style="2" customWidth="1"/>
    <col min="3" max="3" width="14.140625" style="5" bestFit="1" customWidth="1"/>
    <col min="4" max="4" width="11" customWidth="1"/>
    <col min="5" max="5" width="11.42578125" bestFit="1" customWidth="1"/>
    <col min="6" max="6" width="20.7109375" customWidth="1"/>
    <col min="7" max="7" width="14.140625" bestFit="1" customWidth="1"/>
    <col min="8" max="8" width="11.42578125" bestFit="1" customWidth="1"/>
    <col min="9" max="9" width="10.7109375" bestFit="1" customWidth="1"/>
    <col min="10" max="10" width="20.7109375" customWidth="1"/>
    <col min="11" max="11" width="14.140625" bestFit="1" customWidth="1"/>
    <col min="12" max="12" width="12.140625" customWidth="1"/>
    <col min="13" max="13" width="13" customWidth="1"/>
    <col min="14" max="14" width="20.7109375" customWidth="1"/>
    <col min="15" max="15" width="14.140625" bestFit="1" customWidth="1"/>
    <col min="16" max="16" width="14.42578125" customWidth="1"/>
    <col min="17" max="17" width="15" customWidth="1"/>
    <col min="18" max="18" width="20.7109375" customWidth="1"/>
    <col min="19" max="19" width="14.140625" bestFit="1" customWidth="1"/>
    <col min="20" max="20" width="11.42578125" bestFit="1" customWidth="1"/>
    <col min="21" max="21" width="6.5703125" customWidth="1"/>
    <col min="22" max="22" width="20.7109375" customWidth="1"/>
    <col min="23" max="23" width="16.140625" customWidth="1"/>
    <col min="24" max="24" width="12.42578125" customWidth="1"/>
    <col min="25" max="25" width="10.28515625" bestFit="1" customWidth="1"/>
    <col min="26" max="26" width="13.28515625" bestFit="1" customWidth="1"/>
    <col min="27" max="27" width="10.85546875" bestFit="1" customWidth="1"/>
    <col min="28" max="28" width="10.7109375" customWidth="1"/>
    <col min="29" max="30" width="11.7109375" bestFit="1" customWidth="1"/>
    <col min="31" max="31" width="11.85546875" customWidth="1"/>
    <col min="32" max="32" width="12.42578125" bestFit="1" customWidth="1"/>
    <col min="33" max="33" width="12.7109375" customWidth="1"/>
    <col min="34" max="35" width="11.42578125" bestFit="1" customWidth="1"/>
  </cols>
  <sheetData>
    <row r="1" spans="2:25" ht="34.5" customHeight="1" x14ac:dyDescent="0.25">
      <c r="B1" s="18" t="s">
        <v>7</v>
      </c>
      <c r="D1" s="30"/>
      <c r="F1" s="18" t="s">
        <v>8</v>
      </c>
      <c r="G1" s="5"/>
      <c r="J1" s="18" t="s">
        <v>9</v>
      </c>
      <c r="K1" s="5"/>
      <c r="N1" s="18" t="s">
        <v>15</v>
      </c>
      <c r="O1" s="5"/>
      <c r="R1" s="18" t="s">
        <v>16</v>
      </c>
      <c r="S1" s="5"/>
      <c r="V1" s="18" t="s">
        <v>17</v>
      </c>
      <c r="W1" s="5"/>
    </row>
    <row r="2" spans="2:25" ht="30" customHeight="1" thickBot="1" x14ac:dyDescent="0.35">
      <c r="B2" s="20"/>
      <c r="C2" s="57"/>
      <c r="D2" s="1"/>
      <c r="F2" s="20"/>
      <c r="G2" s="57"/>
      <c r="J2" s="20" t="s">
        <v>6</v>
      </c>
      <c r="K2" s="57"/>
      <c r="L2" s="1"/>
      <c r="N2" s="20"/>
      <c r="O2" s="57"/>
      <c r="P2" s="1"/>
      <c r="R2" s="20"/>
      <c r="S2" s="57"/>
      <c r="V2" s="20"/>
      <c r="W2" s="57"/>
    </row>
    <row r="3" spans="2:25" ht="30" customHeight="1" thickBot="1" x14ac:dyDescent="0.3">
      <c r="B3" s="19" t="s">
        <v>19</v>
      </c>
      <c r="C3" s="58" t="s">
        <v>20</v>
      </c>
      <c r="D3" s="9">
        <f>1076+(11*19)+300</f>
        <v>1585</v>
      </c>
      <c r="F3" s="19" t="s">
        <v>19</v>
      </c>
      <c r="G3" s="58" t="s">
        <v>20</v>
      </c>
      <c r="H3" s="9">
        <f>1076+(20*11)</f>
        <v>1296</v>
      </c>
      <c r="J3" s="19" t="s">
        <v>19</v>
      </c>
      <c r="K3" s="58" t="s">
        <v>20</v>
      </c>
      <c r="L3" s="46">
        <f>1318+130</f>
        <v>1448</v>
      </c>
      <c r="N3" s="19" t="s">
        <v>19</v>
      </c>
      <c r="O3" s="58" t="s">
        <v>20</v>
      </c>
      <c r="P3" s="9">
        <f>1076+(11*23)+140</f>
        <v>1469</v>
      </c>
      <c r="R3" s="19" t="s">
        <v>21</v>
      </c>
      <c r="S3" s="58" t="s">
        <v>20</v>
      </c>
      <c r="V3" s="19" t="s">
        <v>21</v>
      </c>
      <c r="W3" s="58" t="s">
        <v>20</v>
      </c>
      <c r="X3" s="9">
        <f>1076+(11*23)+130</f>
        <v>1459</v>
      </c>
    </row>
    <row r="4" spans="2:25" ht="30" customHeight="1" x14ac:dyDescent="0.25">
      <c r="B4" s="59" t="s">
        <v>22</v>
      </c>
      <c r="C4" s="60" t="s">
        <v>23</v>
      </c>
      <c r="F4" s="59" t="s">
        <v>22</v>
      </c>
      <c r="G4" s="60" t="s">
        <v>23</v>
      </c>
      <c r="J4" s="59" t="s">
        <v>22</v>
      </c>
      <c r="K4" s="60" t="s">
        <v>23</v>
      </c>
      <c r="N4" s="59" t="s">
        <v>22</v>
      </c>
      <c r="O4" s="60" t="s">
        <v>23</v>
      </c>
      <c r="R4" s="59" t="s">
        <v>22</v>
      </c>
      <c r="S4" s="60" t="s">
        <v>23</v>
      </c>
      <c r="V4" s="59" t="s">
        <v>22</v>
      </c>
      <c r="W4" s="60" t="s">
        <v>23</v>
      </c>
    </row>
    <row r="5" spans="2:25" ht="42.75" customHeight="1" x14ac:dyDescent="0.25">
      <c r="B5" s="54" t="s">
        <v>2</v>
      </c>
      <c r="C5" s="55">
        <v>0</v>
      </c>
      <c r="F5" s="54" t="s">
        <v>2</v>
      </c>
      <c r="G5" s="55">
        <v>0</v>
      </c>
      <c r="J5" s="54" t="s">
        <v>35</v>
      </c>
      <c r="K5" s="55">
        <v>0</v>
      </c>
      <c r="M5" s="30"/>
      <c r="N5" s="54" t="s">
        <v>36</v>
      </c>
      <c r="O5" s="55">
        <v>0</v>
      </c>
      <c r="R5" s="54" t="s">
        <v>37</v>
      </c>
      <c r="S5" s="55">
        <v>0</v>
      </c>
      <c r="V5" s="54" t="s">
        <v>38</v>
      </c>
      <c r="W5" s="55">
        <f>0</f>
        <v>0</v>
      </c>
    </row>
    <row r="6" spans="2:25" ht="30" customHeight="1" x14ac:dyDescent="0.25">
      <c r="B6" s="54" t="s">
        <v>3</v>
      </c>
      <c r="C6" s="9">
        <v>0</v>
      </c>
      <c r="F6" s="54" t="s">
        <v>3</v>
      </c>
      <c r="G6" s="9">
        <v>0</v>
      </c>
      <c r="H6" s="21"/>
      <c r="J6" s="54" t="s">
        <v>39</v>
      </c>
      <c r="K6" s="9">
        <v>0</v>
      </c>
      <c r="N6" s="54" t="s">
        <v>40</v>
      </c>
      <c r="O6" s="9">
        <f>0</f>
        <v>0</v>
      </c>
      <c r="R6" s="54" t="s">
        <v>41</v>
      </c>
      <c r="S6" s="9">
        <v>0</v>
      </c>
      <c r="V6" s="54" t="s">
        <v>42</v>
      </c>
      <c r="W6" s="55">
        <v>0</v>
      </c>
    </row>
    <row r="7" spans="2:25" ht="30" customHeight="1" x14ac:dyDescent="0.25">
      <c r="B7" s="54" t="s">
        <v>31</v>
      </c>
      <c r="C7" s="55">
        <v>0</v>
      </c>
      <c r="F7" s="54" t="s">
        <v>43</v>
      </c>
      <c r="G7" s="55">
        <v>0</v>
      </c>
      <c r="J7" s="54" t="s">
        <v>44</v>
      </c>
      <c r="K7" s="55">
        <v>0</v>
      </c>
      <c r="N7" s="54" t="s">
        <v>45</v>
      </c>
      <c r="O7" s="55">
        <v>0</v>
      </c>
      <c r="R7" s="54" t="s">
        <v>46</v>
      </c>
      <c r="S7" s="55">
        <v>0</v>
      </c>
      <c r="V7" s="54" t="s">
        <v>47</v>
      </c>
      <c r="W7" s="55">
        <v>0</v>
      </c>
    </row>
    <row r="8" spans="2:25" ht="30" customHeight="1" x14ac:dyDescent="0.25">
      <c r="B8" s="54" t="s">
        <v>5</v>
      </c>
      <c r="C8" s="53">
        <v>0</v>
      </c>
      <c r="F8" s="54" t="s">
        <v>48</v>
      </c>
      <c r="G8" s="53">
        <v>0</v>
      </c>
      <c r="J8" s="54" t="s">
        <v>49</v>
      </c>
      <c r="K8" s="31">
        <v>0</v>
      </c>
      <c r="N8" s="54" t="s">
        <v>50</v>
      </c>
      <c r="O8" s="31">
        <v>0</v>
      </c>
      <c r="R8" s="54" t="s">
        <v>51</v>
      </c>
      <c r="S8" s="31">
        <v>0</v>
      </c>
      <c r="V8" s="54" t="s">
        <v>52</v>
      </c>
      <c r="W8" s="31">
        <f>0</f>
        <v>0</v>
      </c>
    </row>
    <row r="9" spans="2:25" ht="30" customHeight="1" x14ac:dyDescent="0.25">
      <c r="B9" s="54" t="s">
        <v>25</v>
      </c>
      <c r="C9" s="53">
        <v>0</v>
      </c>
      <c r="F9" s="54" t="s">
        <v>53</v>
      </c>
      <c r="G9" s="53">
        <v>0</v>
      </c>
      <c r="J9" s="54" t="s">
        <v>25</v>
      </c>
      <c r="K9" s="53">
        <v>0</v>
      </c>
      <c r="N9" s="54" t="s">
        <v>25</v>
      </c>
      <c r="O9" s="53">
        <v>0</v>
      </c>
      <c r="R9" s="54" t="s">
        <v>25</v>
      </c>
      <c r="S9" s="53">
        <v>0</v>
      </c>
      <c r="V9" s="54" t="s">
        <v>25</v>
      </c>
      <c r="W9" s="53">
        <v>0</v>
      </c>
    </row>
    <row r="10" spans="2:25" ht="30" customHeight="1" x14ac:dyDescent="0.25">
      <c r="B10" s="54" t="s">
        <v>26</v>
      </c>
      <c r="C10" s="53">
        <v>0</v>
      </c>
      <c r="F10" s="54" t="s">
        <v>54</v>
      </c>
      <c r="G10" s="53">
        <v>0</v>
      </c>
      <c r="J10" s="54" t="s">
        <v>26</v>
      </c>
      <c r="K10" s="53">
        <v>0</v>
      </c>
      <c r="N10" s="54" t="s">
        <v>26</v>
      </c>
      <c r="O10" s="53">
        <v>0</v>
      </c>
      <c r="R10" s="54" t="s">
        <v>26</v>
      </c>
      <c r="S10" s="53">
        <v>0</v>
      </c>
      <c r="V10" s="54" t="s">
        <v>26</v>
      </c>
      <c r="W10" s="53">
        <v>0</v>
      </c>
    </row>
    <row r="11" spans="2:25" ht="18.600000000000001" customHeight="1" x14ac:dyDescent="0.25">
      <c r="B11" s="54" t="s">
        <v>6</v>
      </c>
      <c r="C11" s="61">
        <f>SUM(Lista58112638[Preço])</f>
        <v>0</v>
      </c>
      <c r="F11" s="54" t="s">
        <v>6</v>
      </c>
      <c r="G11" s="61">
        <f>SUM(Lista5811266539[Preço])</f>
        <v>0</v>
      </c>
      <c r="J11" s="54" t="s">
        <v>6</v>
      </c>
      <c r="K11" s="61">
        <f>SUM(Lista5811266640[Preço])</f>
        <v>0</v>
      </c>
      <c r="N11" s="54" t="s">
        <v>6</v>
      </c>
      <c r="O11" s="61">
        <f>SUM(Lista5811266741[Preço])</f>
        <v>0</v>
      </c>
      <c r="R11" s="54" t="s">
        <v>6</v>
      </c>
      <c r="S11" s="61">
        <f>SUM(Lista5811266842[Preço])</f>
        <v>0</v>
      </c>
      <c r="V11" s="54" t="s">
        <v>6</v>
      </c>
      <c r="W11" s="61">
        <f>SUM(Lista5811266943[Preço])</f>
        <v>0</v>
      </c>
    </row>
    <row r="12" spans="2:25" ht="26.25" customHeight="1" x14ac:dyDescent="0.25">
      <c r="B12" s="54" t="s">
        <v>55</v>
      </c>
      <c r="C12" s="62">
        <v>0</v>
      </c>
      <c r="F12" s="54" t="s">
        <v>56</v>
      </c>
      <c r="G12" s="62">
        <v>-10</v>
      </c>
      <c r="J12" s="54" t="s">
        <v>55</v>
      </c>
      <c r="K12" s="62">
        <v>35</v>
      </c>
      <c r="N12" s="54" t="s">
        <v>56</v>
      </c>
      <c r="O12" s="62">
        <v>0</v>
      </c>
      <c r="R12" s="54" t="s">
        <v>55</v>
      </c>
      <c r="S12" s="62">
        <v>120</v>
      </c>
      <c r="V12" s="54" t="s">
        <v>56</v>
      </c>
      <c r="W12" s="62">
        <v>-100</v>
      </c>
    </row>
    <row r="13" spans="2:25" ht="21" customHeight="1" x14ac:dyDescent="0.25">
      <c r="C13" s="10"/>
      <c r="G13" s="28"/>
      <c r="K13" s="28"/>
      <c r="O13" s="28"/>
      <c r="R13" t="s">
        <v>18</v>
      </c>
      <c r="S13" s="28"/>
      <c r="V13" s="32"/>
      <c r="W13" s="28"/>
    </row>
    <row r="14" spans="2:25" ht="30" customHeight="1" x14ac:dyDescent="0.25">
      <c r="B14" s="22"/>
      <c r="C14" s="10"/>
      <c r="D14" t="s">
        <v>18</v>
      </c>
      <c r="K14" s="49"/>
      <c r="M14" s="30"/>
      <c r="P14" s="30"/>
      <c r="S14" s="28"/>
    </row>
    <row r="15" spans="2:25" ht="30" customHeight="1" x14ac:dyDescent="0.25">
      <c r="B15" s="18" t="s">
        <v>30</v>
      </c>
      <c r="F15" s="18" t="s">
        <v>10</v>
      </c>
      <c r="G15" s="5"/>
      <c r="J15" s="18" t="s">
        <v>11</v>
      </c>
      <c r="K15" s="5"/>
      <c r="N15" s="18" t="s">
        <v>12</v>
      </c>
      <c r="O15" s="5"/>
      <c r="R15" s="18" t="s">
        <v>13</v>
      </c>
      <c r="S15" s="5"/>
      <c r="V15" s="18" t="s">
        <v>14</v>
      </c>
      <c r="W15" s="5"/>
      <c r="Y15" s="30"/>
    </row>
    <row r="16" spans="2:25" ht="30" customHeight="1" x14ac:dyDescent="0.3">
      <c r="B16" s="20"/>
      <c r="C16" s="57"/>
      <c r="D16" s="1"/>
      <c r="F16" s="20"/>
      <c r="G16" s="57"/>
      <c r="H16" s="1"/>
      <c r="J16" s="20"/>
      <c r="K16" s="57"/>
      <c r="L16" s="1"/>
      <c r="N16" s="20"/>
      <c r="O16" s="57"/>
      <c r="P16" s="1"/>
      <c r="R16" s="20"/>
      <c r="S16" s="57"/>
      <c r="T16" s="1"/>
      <c r="V16" s="20"/>
      <c r="W16" s="57"/>
      <c r="X16" s="1"/>
    </row>
    <row r="17" spans="2:26" ht="30" customHeight="1" thickBot="1" x14ac:dyDescent="0.3">
      <c r="B17" s="19" t="s">
        <v>21</v>
      </c>
      <c r="C17" s="58" t="s">
        <v>20</v>
      </c>
      <c r="D17" s="9">
        <f>1076+(11*12)</f>
        <v>1208</v>
      </c>
      <c r="F17" s="19" t="s">
        <v>21</v>
      </c>
      <c r="G17" s="58" t="s">
        <v>20</v>
      </c>
      <c r="H17" s="9">
        <f>1076+(11*21)+130</f>
        <v>1437</v>
      </c>
      <c r="J17" s="19" t="s">
        <v>21</v>
      </c>
      <c r="K17" s="58" t="s">
        <v>20</v>
      </c>
      <c r="L17" s="9">
        <f>351</f>
        <v>351</v>
      </c>
      <c r="N17" s="19" t="s">
        <v>21</v>
      </c>
      <c r="O17" s="58" t="s">
        <v>20</v>
      </c>
      <c r="P17" s="9">
        <v>2200</v>
      </c>
      <c r="R17" s="19" t="s">
        <v>21</v>
      </c>
      <c r="S17" s="58" t="s">
        <v>20</v>
      </c>
      <c r="T17" s="9">
        <f>1600</f>
        <v>1600</v>
      </c>
      <c r="V17" s="19" t="s">
        <v>21</v>
      </c>
      <c r="W17" s="58" t="s">
        <v>20</v>
      </c>
      <c r="X17" s="9">
        <v>1800</v>
      </c>
    </row>
    <row r="18" spans="2:26" ht="30" customHeight="1" x14ac:dyDescent="0.25">
      <c r="B18" s="59" t="s">
        <v>22</v>
      </c>
      <c r="C18" s="60" t="s">
        <v>23</v>
      </c>
      <c r="F18" s="59" t="s">
        <v>22</v>
      </c>
      <c r="G18" s="60" t="s">
        <v>23</v>
      </c>
      <c r="J18" s="59" t="s">
        <v>22</v>
      </c>
      <c r="K18" s="60" t="s">
        <v>23</v>
      </c>
      <c r="N18" s="59" t="s">
        <v>22</v>
      </c>
      <c r="O18" s="60" t="s">
        <v>18</v>
      </c>
      <c r="R18" s="59" t="s">
        <v>22</v>
      </c>
      <c r="S18" s="60" t="s">
        <v>23</v>
      </c>
      <c r="V18" s="59" t="s">
        <v>22</v>
      </c>
      <c r="W18" s="60" t="s">
        <v>23</v>
      </c>
      <c r="Z18" s="30"/>
    </row>
    <row r="19" spans="2:26" ht="30" customHeight="1" x14ac:dyDescent="0.25">
      <c r="B19" s="54" t="s">
        <v>57</v>
      </c>
      <c r="C19" s="55">
        <f>0</f>
        <v>0</v>
      </c>
      <c r="E19" s="30"/>
      <c r="F19" s="54" t="s">
        <v>58</v>
      </c>
      <c r="G19" s="55">
        <f>0</f>
        <v>0</v>
      </c>
      <c r="J19" s="54" t="s">
        <v>59</v>
      </c>
      <c r="K19" s="55">
        <v>0</v>
      </c>
      <c r="N19" s="54" t="s">
        <v>60</v>
      </c>
      <c r="O19" s="55">
        <v>0</v>
      </c>
      <c r="R19" s="54" t="s">
        <v>61</v>
      </c>
      <c r="S19" s="55">
        <v>0</v>
      </c>
      <c r="V19" s="54" t="s">
        <v>62</v>
      </c>
      <c r="W19" s="63">
        <v>0</v>
      </c>
    </row>
    <row r="20" spans="2:26" ht="30" customHeight="1" x14ac:dyDescent="0.25">
      <c r="B20" s="54" t="s">
        <v>63</v>
      </c>
      <c r="C20" s="55">
        <v>0</v>
      </c>
      <c r="F20" s="54" t="s">
        <v>64</v>
      </c>
      <c r="G20" s="55">
        <f>0</f>
        <v>0</v>
      </c>
      <c r="J20" s="54" t="s">
        <v>65</v>
      </c>
      <c r="K20" s="55">
        <v>0</v>
      </c>
      <c r="M20" s="30"/>
      <c r="N20" s="54" t="s">
        <v>66</v>
      </c>
      <c r="O20" s="55">
        <f>0</f>
        <v>0</v>
      </c>
      <c r="R20" s="54" t="s">
        <v>67</v>
      </c>
      <c r="S20" s="55">
        <v>0</v>
      </c>
      <c r="V20" s="54" t="s">
        <v>41</v>
      </c>
      <c r="W20" s="55">
        <v>0</v>
      </c>
      <c r="Y20" t="s">
        <v>68</v>
      </c>
    </row>
    <row r="21" spans="2:26" ht="30" customHeight="1" x14ac:dyDescent="0.25">
      <c r="B21" s="54" t="s">
        <v>69</v>
      </c>
      <c r="C21" s="55">
        <f>0</f>
        <v>0</v>
      </c>
      <c r="F21" s="54" t="s">
        <v>70</v>
      </c>
      <c r="G21" s="55">
        <v>0</v>
      </c>
      <c r="J21" s="54" t="s">
        <v>71</v>
      </c>
      <c r="K21" s="55">
        <f>0</f>
        <v>0</v>
      </c>
      <c r="N21" s="54" t="s">
        <v>71</v>
      </c>
      <c r="O21" s="55">
        <v>0</v>
      </c>
      <c r="Q21" s="30" t="s">
        <v>18</v>
      </c>
      <c r="R21" s="54" t="s">
        <v>24</v>
      </c>
      <c r="S21" s="55">
        <v>0</v>
      </c>
      <c r="V21" s="54" t="s">
        <v>72</v>
      </c>
      <c r="W21" s="55">
        <v>0</v>
      </c>
      <c r="Y21" s="30"/>
    </row>
    <row r="22" spans="2:26" ht="30" customHeight="1" x14ac:dyDescent="0.25">
      <c r="B22" s="54" t="s">
        <v>73</v>
      </c>
      <c r="C22" s="31">
        <v>0</v>
      </c>
      <c r="D22" s="28"/>
      <c r="E22" s="28"/>
      <c r="F22" s="54" t="s">
        <v>74</v>
      </c>
      <c r="G22" s="31">
        <v>0</v>
      </c>
      <c r="H22" s="28"/>
      <c r="I22" s="28"/>
      <c r="J22" s="54" t="s">
        <v>75</v>
      </c>
      <c r="K22" s="31">
        <v>0</v>
      </c>
      <c r="L22" s="28"/>
      <c r="M22" s="28"/>
      <c r="N22" s="54" t="s">
        <v>76</v>
      </c>
      <c r="O22" s="31">
        <v>0</v>
      </c>
      <c r="P22" s="28"/>
      <c r="Q22" s="28"/>
      <c r="R22" s="54" t="s">
        <v>77</v>
      </c>
      <c r="S22" s="28">
        <v>0</v>
      </c>
      <c r="T22" s="28"/>
      <c r="U22" s="28"/>
      <c r="V22" s="54" t="s">
        <v>78</v>
      </c>
      <c r="W22" s="56">
        <v>0</v>
      </c>
    </row>
    <row r="23" spans="2:26" ht="30" customHeight="1" x14ac:dyDescent="0.25">
      <c r="B23" s="54" t="s">
        <v>25</v>
      </c>
      <c r="C23" s="53">
        <v>0</v>
      </c>
      <c r="F23" s="54" t="s">
        <v>25</v>
      </c>
      <c r="G23" s="53">
        <v>0</v>
      </c>
      <c r="J23" s="54" t="s">
        <v>25</v>
      </c>
      <c r="K23" s="53">
        <v>0</v>
      </c>
      <c r="N23" s="54" t="s">
        <v>53</v>
      </c>
      <c r="O23" s="53">
        <v>0</v>
      </c>
      <c r="R23" s="54" t="s">
        <v>25</v>
      </c>
      <c r="S23" s="53">
        <v>0</v>
      </c>
      <c r="V23" s="54" t="s">
        <v>25</v>
      </c>
      <c r="W23" s="53">
        <v>0</v>
      </c>
    </row>
    <row r="24" spans="2:26" ht="30" customHeight="1" x14ac:dyDescent="0.25">
      <c r="B24" s="54" t="s">
        <v>79</v>
      </c>
      <c r="C24" s="53">
        <v>0</v>
      </c>
      <c r="F24" s="54" t="s">
        <v>26</v>
      </c>
      <c r="G24" s="53">
        <v>0</v>
      </c>
      <c r="J24" s="54" t="s">
        <v>26</v>
      </c>
      <c r="K24" s="53">
        <v>0</v>
      </c>
      <c r="N24" s="54" t="s">
        <v>80</v>
      </c>
      <c r="O24" s="53">
        <v>0</v>
      </c>
      <c r="R24" s="54" t="s">
        <v>26</v>
      </c>
      <c r="S24" s="53">
        <v>0</v>
      </c>
      <c r="V24" s="54" t="s">
        <v>26</v>
      </c>
      <c r="W24" s="53">
        <v>0</v>
      </c>
    </row>
    <row r="25" spans="2:26" ht="30" customHeight="1" x14ac:dyDescent="0.25">
      <c r="B25" s="54" t="s">
        <v>6</v>
      </c>
      <c r="C25" s="61">
        <f>SUM(Lista5811267044[Preço])</f>
        <v>0</v>
      </c>
      <c r="F25" s="54" t="s">
        <v>6</v>
      </c>
      <c r="G25" s="61">
        <f>SUM(Lista5811267145[Preço])</f>
        <v>0</v>
      </c>
      <c r="J25" s="54" t="s">
        <v>6</v>
      </c>
      <c r="K25" s="61">
        <f>SUM(Lista5811267246[Preço])</f>
        <v>0</v>
      </c>
      <c r="N25" s="54" t="s">
        <v>6</v>
      </c>
      <c r="O25" s="61">
        <f>SUM(Lista5811267347[[ ]])</f>
        <v>0</v>
      </c>
      <c r="R25" s="54" t="s">
        <v>6</v>
      </c>
      <c r="S25" s="61">
        <f>SUM(Lista5811267448[Preço])</f>
        <v>0</v>
      </c>
      <c r="V25" s="54" t="s">
        <v>6</v>
      </c>
      <c r="W25" s="61">
        <f>SUM(Lista5811267549[Preço])</f>
        <v>0</v>
      </c>
    </row>
    <row r="26" spans="2:26" ht="30" customHeight="1" x14ac:dyDescent="0.25">
      <c r="B26" s="54" t="s">
        <v>28</v>
      </c>
      <c r="C26" s="62">
        <f>-25</f>
        <v>-25</v>
      </c>
      <c r="F26" s="54" t="s">
        <v>56</v>
      </c>
      <c r="G26" s="62">
        <v>-225</v>
      </c>
      <c r="J26" s="54" t="s">
        <v>56</v>
      </c>
      <c r="K26" s="62">
        <v>150</v>
      </c>
      <c r="N26" s="54" t="s">
        <v>55</v>
      </c>
      <c r="O26" s="62">
        <v>15</v>
      </c>
      <c r="R26" s="54" t="s">
        <v>55</v>
      </c>
      <c r="S26" s="62">
        <v>150</v>
      </c>
      <c r="V26" s="54" t="s">
        <v>56</v>
      </c>
      <c r="W26" s="62">
        <v>50</v>
      </c>
    </row>
    <row r="27" spans="2:26" ht="30" customHeight="1" x14ac:dyDescent="0.25">
      <c r="C27" s="10"/>
      <c r="G27" s="28"/>
      <c r="K27" s="28"/>
      <c r="O27" s="28"/>
      <c r="S27" s="28"/>
      <c r="W27" s="28"/>
    </row>
    <row r="28" spans="2:26" ht="30" customHeight="1" x14ac:dyDescent="0.25">
      <c r="B28" s="18"/>
      <c r="G28" s="28"/>
      <c r="K28" s="28"/>
    </row>
    <row r="29" spans="2:26" ht="30" customHeight="1" x14ac:dyDescent="0.25">
      <c r="B29" s="68" t="s">
        <v>0</v>
      </c>
      <c r="C29" s="68" t="s">
        <v>1</v>
      </c>
      <c r="D29" s="68" t="s">
        <v>12</v>
      </c>
      <c r="E29" s="45" t="s">
        <v>13</v>
      </c>
      <c r="F29" s="45" t="s">
        <v>14</v>
      </c>
      <c r="J29" s="14"/>
      <c r="O29" s="17"/>
    </row>
    <row r="30" spans="2:26" ht="30" customHeight="1" x14ac:dyDescent="0.25">
      <c r="B30" s="38" t="s">
        <v>2</v>
      </c>
      <c r="C30" s="39">
        <f>SUM(Tabela1751[[#This Row],[Outubro]:[Dezembro]])</f>
        <v>0</v>
      </c>
      <c r="D30" s="42">
        <f>O19</f>
        <v>0</v>
      </c>
      <c r="E30" s="50">
        <f>S19</f>
        <v>0</v>
      </c>
      <c r="F30" s="50">
        <f>W19</f>
        <v>0</v>
      </c>
    </row>
    <row r="31" spans="2:26" ht="30" customHeight="1" x14ac:dyDescent="0.25">
      <c r="B31" s="38" t="s">
        <v>3</v>
      </c>
      <c r="C31" s="39">
        <f>SUM(Tabela1751[[#This Row],[Outubro]:[Dezembro]])</f>
        <v>0</v>
      </c>
      <c r="D31" s="50">
        <f>O20</f>
        <v>0</v>
      </c>
      <c r="E31" s="50">
        <f>S20</f>
        <v>0</v>
      </c>
      <c r="F31" s="50">
        <f>W20</f>
        <v>0</v>
      </c>
      <c r="H31" s="54"/>
      <c r="I31" s="55"/>
    </row>
    <row r="32" spans="2:26" ht="30" customHeight="1" x14ac:dyDescent="0.25">
      <c r="B32" s="38" t="s">
        <v>4</v>
      </c>
      <c r="C32" s="50">
        <f>SUM(Tabela1751[[#This Row],[Outubro]:[Dezembro]])</f>
        <v>0</v>
      </c>
      <c r="D32" s="50">
        <f>O21</f>
        <v>0</v>
      </c>
      <c r="E32" s="50">
        <f>S21</f>
        <v>0</v>
      </c>
      <c r="F32" s="50">
        <f>W21</f>
        <v>0</v>
      </c>
      <c r="H32" s="54"/>
      <c r="I32" s="55"/>
    </row>
    <row r="33" spans="2:23" ht="30" customHeight="1" x14ac:dyDescent="0.25">
      <c r="B33" s="38" t="s">
        <v>5</v>
      </c>
      <c r="C33" s="39">
        <f>SUM(Tabela1751[[#This Row],[Outubro]:[Dezembro]])</f>
        <v>0</v>
      </c>
      <c r="D33" s="50">
        <f>O22</f>
        <v>0</v>
      </c>
      <c r="E33" s="50">
        <f>S22</f>
        <v>0</v>
      </c>
      <c r="F33" s="50">
        <f>W22</f>
        <v>0</v>
      </c>
      <c r="H33" s="54"/>
      <c r="I33" s="55"/>
    </row>
    <row r="34" spans="2:23" ht="30" customHeight="1" x14ac:dyDescent="0.25">
      <c r="B34" s="38" t="s">
        <v>81</v>
      </c>
      <c r="C34" s="39">
        <f>SUM(Tabela1751[[#This Row],[Outubro]:[Dezembro]])</f>
        <v>0</v>
      </c>
      <c r="D34" s="50">
        <v>0</v>
      </c>
      <c r="E34" s="51">
        <v>0</v>
      </c>
      <c r="F34" s="51">
        <v>0</v>
      </c>
      <c r="H34" s="54"/>
      <c r="I34" s="55"/>
    </row>
    <row r="35" spans="2:23" ht="30" customHeight="1" x14ac:dyDescent="0.25">
      <c r="B35" s="40" t="s">
        <v>6</v>
      </c>
      <c r="C35" s="41">
        <f>SUM(C30:C34)</f>
        <v>0</v>
      </c>
      <c r="D35" s="42">
        <f t="shared" ref="D35:F35" si="0">SUM(D30:D34)</f>
        <v>0</v>
      </c>
      <c r="E35" s="42">
        <f t="shared" si="0"/>
        <v>0</v>
      </c>
      <c r="F35" s="42">
        <f t="shared" si="0"/>
        <v>0</v>
      </c>
      <c r="H35" s="28"/>
      <c r="I35" s="56"/>
    </row>
    <row r="36" spans="2:23" ht="30" customHeight="1" x14ac:dyDescent="0.25">
      <c r="B36" s="54"/>
      <c r="C36" s="53"/>
      <c r="D36" s="53"/>
      <c r="E36" s="56"/>
      <c r="V36" s="54"/>
      <c r="W36" s="53"/>
    </row>
    <row r="37" spans="2:23" ht="30" customHeight="1" x14ac:dyDescent="0.25">
      <c r="C37"/>
      <c r="V37" s="54"/>
      <c r="W37" s="53"/>
    </row>
    <row r="38" spans="2:23" ht="30" customHeight="1" x14ac:dyDescent="0.25">
      <c r="B38"/>
      <c r="C38"/>
      <c r="V38" s="54"/>
      <c r="W38" s="61"/>
    </row>
    <row r="39" spans="2:23" ht="30" customHeight="1" x14ac:dyDescent="0.25">
      <c r="B39"/>
      <c r="C39"/>
      <c r="V39" s="54"/>
      <c r="W39" s="62"/>
    </row>
    <row r="40" spans="2:23" ht="30" customHeight="1" x14ac:dyDescent="0.25">
      <c r="B40"/>
      <c r="C40"/>
    </row>
    <row r="41" spans="2:23" ht="30" customHeight="1" x14ac:dyDescent="0.25">
      <c r="B41"/>
      <c r="C41"/>
    </row>
    <row r="42" spans="2:23" ht="30" customHeight="1" x14ac:dyDescent="0.25">
      <c r="B42"/>
      <c r="C42"/>
    </row>
    <row r="43" spans="2:23" ht="15" x14ac:dyDescent="0.25">
      <c r="B43"/>
      <c r="C43"/>
      <c r="H43" s="68"/>
    </row>
    <row r="44" spans="2:23" ht="15" x14ac:dyDescent="0.25">
      <c r="B44"/>
      <c r="C44"/>
    </row>
    <row r="45" spans="2:23" ht="30" customHeight="1" x14ac:dyDescent="0.25">
      <c r="B45"/>
      <c r="C45"/>
    </row>
  </sheetData>
  <phoneticPr fontId="29" type="noConversion"/>
  <printOptions horizontalCentered="1"/>
  <pageMargins left="0.7" right="0.7" top="0.75" bottom="0.75" header="0.3" footer="0.3"/>
  <pageSetup paperSize="9" fitToHeight="0" orientation="portrait" horizontalDpi="4294967293" r:id="rId1"/>
  <headerFooter differentFirst="1">
    <oddFooter>Page &amp;P of &amp;N</oddFooter>
  </headerFooter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08DDE-6A67-45EB-B1E3-4ED3F508094B}">
  <sheetPr>
    <tabColor theme="1"/>
    <pageSetUpPr fitToPage="1"/>
  </sheetPr>
  <dimension ref="B1:AG48"/>
  <sheetViews>
    <sheetView showGridLines="0" zoomScale="85" zoomScaleNormal="85" workbookViewId="0">
      <selection activeCell="X29" sqref="X29"/>
    </sheetView>
  </sheetViews>
  <sheetFormatPr defaultColWidth="8.85546875" defaultRowHeight="30" customHeight="1" x14ac:dyDescent="0.25"/>
  <cols>
    <col min="1" max="1" width="5.42578125" customWidth="1"/>
    <col min="2" max="2" width="20.7109375" style="2" customWidth="1"/>
    <col min="3" max="3" width="14.140625" style="5" bestFit="1" customWidth="1"/>
    <col min="4" max="4" width="11" customWidth="1"/>
    <col min="5" max="5" width="10.28515625" customWidth="1"/>
    <col min="6" max="6" width="20.7109375" customWidth="1"/>
    <col min="7" max="7" width="14.140625" bestFit="1" customWidth="1"/>
    <col min="8" max="9" width="10.7109375" bestFit="1" customWidth="1"/>
    <col min="10" max="10" width="20.7109375" customWidth="1"/>
    <col min="11" max="11" width="14.140625" bestFit="1" customWidth="1"/>
    <col min="12" max="12" width="8.5703125" customWidth="1"/>
    <col min="13" max="13" width="6.5703125" customWidth="1"/>
    <col min="14" max="14" width="20.7109375" customWidth="1"/>
    <col min="15" max="15" width="14.140625" bestFit="1" customWidth="1"/>
    <col min="17" max="17" width="6.5703125" customWidth="1"/>
    <col min="18" max="18" width="20.7109375" customWidth="1"/>
    <col min="19" max="19" width="14.140625" bestFit="1" customWidth="1"/>
    <col min="21" max="21" width="6.5703125" customWidth="1"/>
    <col min="22" max="22" width="20.7109375" customWidth="1"/>
    <col min="23" max="23" width="14.140625" bestFit="1" customWidth="1"/>
    <col min="24" max="24" width="9.42578125" bestFit="1" customWidth="1"/>
    <col min="25" max="25" width="10.28515625" bestFit="1" customWidth="1"/>
    <col min="26" max="26" width="13.28515625" bestFit="1" customWidth="1"/>
    <col min="27" max="28" width="10.85546875" bestFit="1" customWidth="1"/>
    <col min="29" max="30" width="11.7109375" bestFit="1" customWidth="1"/>
    <col min="31" max="31" width="11.85546875" customWidth="1"/>
    <col min="32" max="32" width="12.42578125" bestFit="1" customWidth="1"/>
    <col min="33" max="33" width="12.7109375" customWidth="1"/>
    <col min="34" max="35" width="11.42578125" bestFit="1" customWidth="1"/>
  </cols>
  <sheetData>
    <row r="1" spans="2:32" ht="34.5" customHeight="1" thickTop="1" thickBot="1" x14ac:dyDescent="0.3">
      <c r="B1" s="18" t="s">
        <v>7</v>
      </c>
      <c r="F1" s="18" t="s">
        <v>8</v>
      </c>
      <c r="G1" s="5"/>
      <c r="J1" s="18" t="s">
        <v>9</v>
      </c>
      <c r="K1" s="5"/>
      <c r="N1" s="18" t="s">
        <v>15</v>
      </c>
      <c r="O1" s="5"/>
      <c r="R1" s="18" t="s">
        <v>16</v>
      </c>
      <c r="S1" s="5"/>
      <c r="V1" s="18" t="s">
        <v>17</v>
      </c>
      <c r="W1" s="5"/>
      <c r="Z1" s="35" t="s">
        <v>82</v>
      </c>
    </row>
    <row r="2" spans="2:32" ht="30" customHeight="1" thickTop="1" thickBot="1" x14ac:dyDescent="0.35">
      <c r="B2" s="20"/>
      <c r="C2" s="57"/>
      <c r="D2" s="1"/>
      <c r="F2" s="20"/>
      <c r="G2" s="57"/>
      <c r="J2" s="20" t="s">
        <v>6</v>
      </c>
      <c r="K2" s="57"/>
      <c r="L2" s="1"/>
      <c r="N2" s="20"/>
      <c r="O2" s="57"/>
      <c r="P2" s="1"/>
      <c r="R2" s="20"/>
      <c r="S2" s="57"/>
      <c r="T2" s="1"/>
      <c r="V2" s="20"/>
      <c r="W2" s="57"/>
      <c r="Z2" s="37" t="s">
        <v>83</v>
      </c>
      <c r="AA2" s="36" t="s">
        <v>84</v>
      </c>
      <c r="AB2" s="36" t="s">
        <v>85</v>
      </c>
      <c r="AC2" s="36" t="s">
        <v>85</v>
      </c>
      <c r="AD2" s="36" t="s">
        <v>85</v>
      </c>
      <c r="AE2" s="36" t="s">
        <v>85</v>
      </c>
    </row>
    <row r="3" spans="2:32" ht="30" customHeight="1" thickTop="1" thickBot="1" x14ac:dyDescent="0.3">
      <c r="B3" s="19" t="s">
        <v>19</v>
      </c>
      <c r="C3" s="58" t="s">
        <v>20</v>
      </c>
      <c r="D3" s="14">
        <f>800+(18*21)</f>
        <v>1178</v>
      </c>
      <c r="F3" s="19" t="s">
        <v>19</v>
      </c>
      <c r="G3" s="58" t="s">
        <v>86</v>
      </c>
      <c r="H3">
        <f>733+500+872</f>
        <v>2105</v>
      </c>
      <c r="J3" s="19" t="s">
        <v>19</v>
      </c>
      <c r="K3" s="58" t="s">
        <v>87</v>
      </c>
      <c r="L3" s="29">
        <f>900+(19*11)+500</f>
        <v>1609</v>
      </c>
      <c r="N3" s="19" t="s">
        <v>19</v>
      </c>
      <c r="O3" s="58" t="s">
        <v>88</v>
      </c>
      <c r="P3" s="14">
        <v>1645</v>
      </c>
      <c r="R3" s="19" t="s">
        <v>21</v>
      </c>
      <c r="S3" s="58" t="s">
        <v>89</v>
      </c>
      <c r="T3" s="14">
        <v>775</v>
      </c>
      <c r="V3" s="19" t="s">
        <v>21</v>
      </c>
      <c r="W3" s="58" t="s">
        <v>88</v>
      </c>
      <c r="X3" s="2">
        <f>1500</f>
        <v>1500</v>
      </c>
      <c r="Z3" s="36" t="s">
        <v>90</v>
      </c>
      <c r="AA3" s="36" t="s">
        <v>91</v>
      </c>
      <c r="AB3" s="36" t="s">
        <v>92</v>
      </c>
      <c r="AC3" s="36" t="s">
        <v>93</v>
      </c>
      <c r="AD3" s="36" t="s">
        <v>94</v>
      </c>
      <c r="AE3" s="36" t="s">
        <v>95</v>
      </c>
      <c r="AF3" s="36" t="s">
        <v>96</v>
      </c>
    </row>
    <row r="4" spans="2:32" ht="30" customHeight="1" thickTop="1" thickBot="1" x14ac:dyDescent="0.3">
      <c r="B4" s="59" t="s">
        <v>22</v>
      </c>
      <c r="C4" s="60" t="s">
        <v>23</v>
      </c>
      <c r="F4" s="59" t="s">
        <v>22</v>
      </c>
      <c r="G4" s="60" t="s">
        <v>23</v>
      </c>
      <c r="J4" s="59" t="s">
        <v>22</v>
      </c>
      <c r="K4" s="60" t="s">
        <v>23</v>
      </c>
      <c r="N4" s="59" t="s">
        <v>22</v>
      </c>
      <c r="O4" s="60" t="s">
        <v>23</v>
      </c>
      <c r="R4" s="59" t="s">
        <v>22</v>
      </c>
      <c r="S4" s="60" t="s">
        <v>23</v>
      </c>
      <c r="V4" s="59" t="s">
        <v>22</v>
      </c>
      <c r="W4" s="60" t="s">
        <v>23</v>
      </c>
      <c r="Y4" s="17"/>
      <c r="Z4" s="35" t="s">
        <v>97</v>
      </c>
      <c r="AA4" s="35">
        <v>200</v>
      </c>
      <c r="AB4" s="35">
        <v>375</v>
      </c>
      <c r="AC4" s="35">
        <v>375</v>
      </c>
      <c r="AD4" s="35">
        <v>375</v>
      </c>
      <c r="AE4" s="35">
        <v>375</v>
      </c>
      <c r="AF4" s="35"/>
    </row>
    <row r="5" spans="2:32" ht="42.75" customHeight="1" thickTop="1" thickBot="1" x14ac:dyDescent="0.3">
      <c r="B5" s="54" t="s">
        <v>2</v>
      </c>
      <c r="C5" s="55" t="s">
        <v>98</v>
      </c>
      <c r="F5" s="54" t="s">
        <v>99</v>
      </c>
      <c r="G5" s="55">
        <v>0</v>
      </c>
      <c r="J5" s="54" t="s">
        <v>99</v>
      </c>
      <c r="K5" s="55" t="s">
        <v>100</v>
      </c>
      <c r="N5" s="54" t="s">
        <v>101</v>
      </c>
      <c r="O5" s="55" t="s">
        <v>102</v>
      </c>
      <c r="R5" s="54" t="s">
        <v>103</v>
      </c>
      <c r="S5" s="55" t="s">
        <v>104</v>
      </c>
      <c r="V5" s="54" t="s">
        <v>105</v>
      </c>
      <c r="W5" s="55">
        <v>0</v>
      </c>
      <c r="Z5" s="35" t="s">
        <v>106</v>
      </c>
      <c r="AA5" s="35">
        <v>200</v>
      </c>
      <c r="AB5" s="35">
        <v>500</v>
      </c>
      <c r="AC5" s="35">
        <v>500</v>
      </c>
      <c r="AD5" s="35">
        <v>500</v>
      </c>
      <c r="AE5" s="35">
        <v>0</v>
      </c>
      <c r="AF5" s="35">
        <f>SUM(AA5:AE5)-1700</f>
        <v>0</v>
      </c>
    </row>
    <row r="6" spans="2:32" ht="30" customHeight="1" thickTop="1" x14ac:dyDescent="0.25">
      <c r="B6" s="54" t="s">
        <v>3</v>
      </c>
      <c r="C6" s="68" t="s">
        <v>107</v>
      </c>
      <c r="F6" s="54" t="s">
        <v>108</v>
      </c>
      <c r="G6" s="55">
        <v>0</v>
      </c>
      <c r="H6" s="21"/>
      <c r="J6" s="54" t="s">
        <v>3</v>
      </c>
      <c r="K6" s="55">
        <v>0</v>
      </c>
      <c r="N6" s="54" t="s">
        <v>3</v>
      </c>
      <c r="O6" s="55">
        <v>0</v>
      </c>
      <c r="R6" s="54" t="s">
        <v>3</v>
      </c>
      <c r="S6" s="55">
        <v>0</v>
      </c>
      <c r="V6" s="54" t="s">
        <v>109</v>
      </c>
      <c r="W6" s="55">
        <v>0</v>
      </c>
    </row>
    <row r="7" spans="2:32" ht="30" customHeight="1" x14ac:dyDescent="0.25">
      <c r="B7" s="54" t="s">
        <v>31</v>
      </c>
      <c r="C7" s="55" t="s">
        <v>110</v>
      </c>
      <c r="D7" t="s">
        <v>106</v>
      </c>
      <c r="F7" s="54" t="s">
        <v>111</v>
      </c>
      <c r="G7" s="55">
        <v>0</v>
      </c>
      <c r="J7" s="54" t="s">
        <v>31</v>
      </c>
      <c r="K7" s="55" t="s">
        <v>112</v>
      </c>
      <c r="N7" s="54" t="s">
        <v>113</v>
      </c>
      <c r="O7" s="55" t="s">
        <v>112</v>
      </c>
      <c r="R7" s="54" t="s">
        <v>31</v>
      </c>
      <c r="S7" s="55">
        <v>0</v>
      </c>
      <c r="V7" s="54" t="s">
        <v>31</v>
      </c>
      <c r="W7" s="55">
        <v>0</v>
      </c>
    </row>
    <row r="8" spans="2:32" ht="30" customHeight="1" x14ac:dyDescent="0.25">
      <c r="B8" s="54"/>
      <c r="C8" s="53"/>
      <c r="F8" s="54" t="s">
        <v>114</v>
      </c>
      <c r="G8" s="53">
        <v>0</v>
      </c>
      <c r="J8" t="s">
        <v>5</v>
      </c>
      <c r="K8" s="31" t="s">
        <v>115</v>
      </c>
      <c r="N8" t="s">
        <v>116</v>
      </c>
      <c r="O8" s="53" t="s">
        <v>117</v>
      </c>
      <c r="R8" t="s">
        <v>5</v>
      </c>
      <c r="S8" s="53" t="s">
        <v>118</v>
      </c>
      <c r="V8" t="s">
        <v>119</v>
      </c>
      <c r="W8" s="53">
        <v>0</v>
      </c>
    </row>
    <row r="9" spans="2:32" ht="30" customHeight="1" x14ac:dyDescent="0.25">
      <c r="B9" s="54" t="s">
        <v>25</v>
      </c>
      <c r="C9" s="53">
        <v>0</v>
      </c>
      <c r="D9" t="s">
        <v>106</v>
      </c>
      <c r="F9" s="54" t="s">
        <v>120</v>
      </c>
      <c r="G9" s="53">
        <v>0</v>
      </c>
      <c r="J9" s="54" t="s">
        <v>25</v>
      </c>
      <c r="K9" s="53">
        <v>0</v>
      </c>
      <c r="N9" s="54" t="s">
        <v>25</v>
      </c>
      <c r="O9" s="53">
        <v>0</v>
      </c>
      <c r="R9" s="54" t="s">
        <v>25</v>
      </c>
      <c r="S9" s="53">
        <v>0</v>
      </c>
      <c r="V9" s="54" t="s">
        <v>25</v>
      </c>
      <c r="W9" s="53">
        <v>0</v>
      </c>
    </row>
    <row r="10" spans="2:32" ht="30" customHeight="1" x14ac:dyDescent="0.25">
      <c r="B10" s="54" t="s">
        <v>26</v>
      </c>
      <c r="C10" s="53">
        <v>0</v>
      </c>
      <c r="D10" t="s">
        <v>121</v>
      </c>
      <c r="F10" s="54" t="s">
        <v>122</v>
      </c>
      <c r="G10" s="53"/>
      <c r="J10" s="54" t="s">
        <v>26</v>
      </c>
      <c r="K10" s="53">
        <v>130</v>
      </c>
      <c r="N10" s="54" t="s">
        <v>26</v>
      </c>
      <c r="O10" s="53" t="s">
        <v>123</v>
      </c>
      <c r="R10" s="54" t="s">
        <v>26</v>
      </c>
      <c r="S10" s="53">
        <v>0</v>
      </c>
      <c r="V10" s="54" t="s">
        <v>26</v>
      </c>
      <c r="W10" s="53">
        <v>0</v>
      </c>
    </row>
    <row r="11" spans="2:32" ht="18.600000000000001" customHeight="1" x14ac:dyDescent="0.25">
      <c r="B11" s="54" t="s">
        <v>6</v>
      </c>
      <c r="C11" s="61">
        <f>SUM(Lista581126[Preço])</f>
        <v>0</v>
      </c>
      <c r="F11" s="54" t="s">
        <v>6</v>
      </c>
      <c r="G11" s="53">
        <f>SUM(Lista58112665[Preço])</f>
        <v>0</v>
      </c>
      <c r="J11" s="54" t="s">
        <v>6</v>
      </c>
      <c r="K11" s="61">
        <f>SUM(Lista58112666[Preço])</f>
        <v>130</v>
      </c>
      <c r="N11" s="54" t="s">
        <v>6</v>
      </c>
      <c r="O11" s="61">
        <f>SUM(Lista58112667[Preço])</f>
        <v>0</v>
      </c>
      <c r="R11" s="54" t="s">
        <v>6</v>
      </c>
      <c r="S11" s="61">
        <f>SUM(Lista58112668[Preço])</f>
        <v>0</v>
      </c>
      <c r="V11" s="54" t="s">
        <v>6</v>
      </c>
      <c r="W11" s="61">
        <f>SUM(Lista58112669[Preço])</f>
        <v>0</v>
      </c>
    </row>
    <row r="12" spans="2:32" ht="26.25" customHeight="1" x14ac:dyDescent="0.25">
      <c r="B12" s="54" t="s">
        <v>56</v>
      </c>
      <c r="C12" s="62">
        <v>0</v>
      </c>
      <c r="F12" s="54" t="s">
        <v>124</v>
      </c>
      <c r="G12" s="62">
        <f>300</f>
        <v>300</v>
      </c>
      <c r="J12" s="54" t="s">
        <v>125</v>
      </c>
      <c r="K12" s="62">
        <v>0</v>
      </c>
      <c r="N12" s="54" t="s">
        <v>55</v>
      </c>
      <c r="O12" s="62">
        <v>-0.53</v>
      </c>
      <c r="R12" s="54" t="s">
        <v>125</v>
      </c>
      <c r="S12" s="62">
        <v>0</v>
      </c>
      <c r="V12" s="54" t="s">
        <v>126</v>
      </c>
      <c r="W12" s="62">
        <v>-90</v>
      </c>
    </row>
    <row r="13" spans="2:32" ht="21" customHeight="1" x14ac:dyDescent="0.25">
      <c r="O13" s="28"/>
      <c r="R13" t="s">
        <v>33</v>
      </c>
      <c r="S13" s="28">
        <v>200</v>
      </c>
      <c r="V13" s="32"/>
      <c r="W13" s="33"/>
    </row>
    <row r="14" spans="2:32" ht="30" customHeight="1" x14ac:dyDescent="0.25">
      <c r="B14" s="22"/>
      <c r="M14" s="30"/>
      <c r="P14" s="30"/>
      <c r="S14" s="28"/>
      <c r="V14" s="32"/>
      <c r="W14" s="28"/>
    </row>
    <row r="15" spans="2:32" ht="30" customHeight="1" x14ac:dyDescent="0.25">
      <c r="B15" s="18" t="s">
        <v>30</v>
      </c>
      <c r="F15" s="18" t="s">
        <v>10</v>
      </c>
      <c r="G15" s="5"/>
      <c r="J15" s="18" t="s">
        <v>11</v>
      </c>
      <c r="K15" s="5"/>
      <c r="N15" s="18" t="s">
        <v>12</v>
      </c>
      <c r="O15" s="5"/>
      <c r="R15" s="18" t="s">
        <v>13</v>
      </c>
      <c r="S15" s="5"/>
      <c r="V15" s="18" t="s">
        <v>14</v>
      </c>
      <c r="W15" s="5"/>
    </row>
    <row r="16" spans="2:32" ht="30" customHeight="1" thickBot="1" x14ac:dyDescent="0.35">
      <c r="B16" s="20"/>
      <c r="C16" s="57"/>
      <c r="D16" s="1"/>
      <c r="F16" s="20"/>
      <c r="G16" s="57"/>
      <c r="H16" s="1"/>
      <c r="J16" s="20"/>
      <c r="K16" s="57"/>
      <c r="L16" s="1"/>
      <c r="N16" s="20"/>
      <c r="O16" s="57"/>
      <c r="P16" s="1"/>
      <c r="R16" s="20"/>
      <c r="S16" s="57"/>
      <c r="T16" s="1"/>
      <c r="V16" s="20"/>
      <c r="W16" s="57"/>
      <c r="X16" s="1"/>
    </row>
    <row r="17" spans="2:33" ht="30" customHeight="1" thickBot="1" x14ac:dyDescent="0.3">
      <c r="B17" s="19" t="s">
        <v>21</v>
      </c>
      <c r="C17" s="58" t="s">
        <v>127</v>
      </c>
      <c r="D17" s="14">
        <v>2400</v>
      </c>
      <c r="F17" s="19" t="s">
        <v>21</v>
      </c>
      <c r="G17" s="58" t="s">
        <v>128</v>
      </c>
      <c r="H17" s="9">
        <f>(1500/31*17)+(1250/31*14)+20+300</f>
        <v>1707.0967741935483</v>
      </c>
      <c r="J17" s="19" t="s">
        <v>21</v>
      </c>
      <c r="K17" s="58" t="s">
        <v>129</v>
      </c>
      <c r="L17" s="14">
        <v>1660</v>
      </c>
      <c r="N17" s="19" t="s">
        <v>21</v>
      </c>
      <c r="O17" s="58" t="s">
        <v>130</v>
      </c>
      <c r="P17" s="14">
        <v>1550</v>
      </c>
      <c r="R17" s="19" t="s">
        <v>21</v>
      </c>
      <c r="S17" s="58" t="s">
        <v>88</v>
      </c>
      <c r="T17" s="14">
        <f>702.93+300</f>
        <v>1002.93</v>
      </c>
      <c r="V17" s="19" t="s">
        <v>21</v>
      </c>
      <c r="W17" s="58" t="s">
        <v>88</v>
      </c>
      <c r="X17" s="14">
        <f>1076+(20*11)+300</f>
        <v>1596</v>
      </c>
    </row>
    <row r="18" spans="2:33" ht="30" customHeight="1" thickTop="1" thickBot="1" x14ac:dyDescent="0.3">
      <c r="B18" s="59" t="s">
        <v>22</v>
      </c>
      <c r="C18" s="60" t="s">
        <v>23</v>
      </c>
      <c r="F18" s="59" t="s">
        <v>22</v>
      </c>
      <c r="G18" s="60" t="s">
        <v>23</v>
      </c>
      <c r="J18" s="59" t="s">
        <v>22</v>
      </c>
      <c r="K18" s="60" t="s">
        <v>23</v>
      </c>
      <c r="N18" s="59" t="s">
        <v>22</v>
      </c>
      <c r="O18" s="60" t="s">
        <v>18</v>
      </c>
      <c r="R18" s="59" t="s">
        <v>22</v>
      </c>
      <c r="S18" s="60" t="s">
        <v>23</v>
      </c>
      <c r="V18" s="59" t="s">
        <v>22</v>
      </c>
      <c r="W18" s="60" t="s">
        <v>23</v>
      </c>
      <c r="Z18" s="35" t="s">
        <v>131</v>
      </c>
    </row>
    <row r="19" spans="2:33" ht="30" customHeight="1" thickTop="1" thickBot="1" x14ac:dyDescent="0.3">
      <c r="B19" s="54" t="s">
        <v>132</v>
      </c>
      <c r="C19" s="55">
        <v>0</v>
      </c>
      <c r="F19" s="54" t="s">
        <v>133</v>
      </c>
      <c r="G19" s="55">
        <v>0</v>
      </c>
      <c r="J19" s="54" t="s">
        <v>134</v>
      </c>
      <c r="K19" s="55">
        <v>0</v>
      </c>
      <c r="N19" s="54" t="s">
        <v>135</v>
      </c>
      <c r="O19" s="55">
        <v>0</v>
      </c>
      <c r="R19" s="54" t="s">
        <v>136</v>
      </c>
      <c r="S19" s="55">
        <f>0</f>
        <v>0</v>
      </c>
      <c r="V19" s="54" t="s">
        <v>137</v>
      </c>
      <c r="W19" s="55">
        <f>0</f>
        <v>0</v>
      </c>
      <c r="X19" s="47">
        <v>44941</v>
      </c>
      <c r="Z19" s="35" t="s">
        <v>138</v>
      </c>
      <c r="AA19" s="35" t="s">
        <v>139</v>
      </c>
      <c r="AB19" s="35" t="s">
        <v>30</v>
      </c>
      <c r="AC19" s="35" t="s">
        <v>140</v>
      </c>
      <c r="AD19" s="35" t="s">
        <v>141</v>
      </c>
      <c r="AE19" s="35" t="s">
        <v>12</v>
      </c>
      <c r="AF19" s="35" t="s">
        <v>142</v>
      </c>
      <c r="AG19" s="48" t="s">
        <v>14</v>
      </c>
    </row>
    <row r="20" spans="2:33" ht="30" customHeight="1" thickTop="1" thickBot="1" x14ac:dyDescent="0.3">
      <c r="B20" s="54" t="s">
        <v>143</v>
      </c>
      <c r="C20" s="55">
        <v>0</v>
      </c>
      <c r="F20" s="54" t="s">
        <v>143</v>
      </c>
      <c r="G20" s="55">
        <v>0</v>
      </c>
      <c r="J20" s="54" t="s">
        <v>144</v>
      </c>
      <c r="K20" s="55">
        <v>0</v>
      </c>
      <c r="N20" s="54" t="s">
        <v>145</v>
      </c>
      <c r="O20" s="55">
        <v>0</v>
      </c>
      <c r="R20" s="54" t="s">
        <v>146</v>
      </c>
      <c r="S20" s="55">
        <v>0</v>
      </c>
      <c r="V20" s="54" t="s">
        <v>147</v>
      </c>
      <c r="W20" s="55">
        <v>0</v>
      </c>
      <c r="X20" s="47">
        <v>44936</v>
      </c>
      <c r="Z20" s="35">
        <v>500</v>
      </c>
      <c r="AA20" s="35">
        <v>200</v>
      </c>
      <c r="AB20" s="35">
        <v>200</v>
      </c>
      <c r="AC20" s="35">
        <v>200</v>
      </c>
      <c r="AD20" s="35">
        <v>200</v>
      </c>
      <c r="AE20" s="35">
        <v>200</v>
      </c>
      <c r="AF20" s="35">
        <v>200</v>
      </c>
      <c r="AG20" s="48"/>
    </row>
    <row r="21" spans="2:33" ht="30" customHeight="1" thickTop="1" thickBot="1" x14ac:dyDescent="0.3">
      <c r="B21" s="54" t="s">
        <v>31</v>
      </c>
      <c r="C21" s="55">
        <v>0</v>
      </c>
      <c r="F21" s="54" t="s">
        <v>148</v>
      </c>
      <c r="G21" s="55">
        <v>0</v>
      </c>
      <c r="J21" s="54" t="s">
        <v>148</v>
      </c>
      <c r="K21" s="55">
        <v>0</v>
      </c>
      <c r="N21" s="54" t="s">
        <v>149</v>
      </c>
      <c r="O21" s="55">
        <v>0</v>
      </c>
      <c r="R21" s="54" t="s">
        <v>150</v>
      </c>
      <c r="S21" s="55">
        <v>0</v>
      </c>
      <c r="V21" s="54" t="s">
        <v>151</v>
      </c>
      <c r="W21" s="55">
        <v>0</v>
      </c>
      <c r="X21" s="47">
        <v>44936</v>
      </c>
      <c r="Y21" s="35" t="s">
        <v>106</v>
      </c>
      <c r="Z21" s="35">
        <v>500</v>
      </c>
      <c r="AA21" s="35">
        <v>200</v>
      </c>
      <c r="AB21" s="35">
        <v>200</v>
      </c>
      <c r="AC21" s="35">
        <v>200</v>
      </c>
      <c r="AD21" s="35">
        <v>200</v>
      </c>
      <c r="AE21" s="35">
        <v>200</v>
      </c>
      <c r="AF21" s="35">
        <v>200</v>
      </c>
      <c r="AG21" s="48">
        <v>0</v>
      </c>
    </row>
    <row r="22" spans="2:33" ht="30" customHeight="1" thickTop="1" thickBot="1" x14ac:dyDescent="0.3">
      <c r="B22" t="s">
        <v>152</v>
      </c>
      <c r="C22" s="28">
        <v>0</v>
      </c>
      <c r="D22" s="28"/>
      <c r="E22" s="28"/>
      <c r="F22" s="28" t="s">
        <v>153</v>
      </c>
      <c r="G22" s="28">
        <f>0</f>
        <v>0</v>
      </c>
      <c r="H22" s="28"/>
      <c r="I22" s="28"/>
      <c r="J22" s="28" t="s">
        <v>154</v>
      </c>
      <c r="K22" s="56">
        <v>0</v>
      </c>
      <c r="L22" s="28"/>
      <c r="M22" s="28"/>
      <c r="N22" s="28" t="s">
        <v>155</v>
      </c>
      <c r="O22" s="28">
        <v>0</v>
      </c>
      <c r="P22" s="28"/>
      <c r="Q22" s="28"/>
      <c r="R22" s="28" t="s">
        <v>156</v>
      </c>
      <c r="S22" s="28">
        <v>0</v>
      </c>
      <c r="T22" s="28"/>
      <c r="U22" s="28"/>
      <c r="V22" s="28" t="s">
        <v>157</v>
      </c>
      <c r="W22" s="56">
        <f>0</f>
        <v>0</v>
      </c>
      <c r="X22" s="47">
        <v>44941</v>
      </c>
      <c r="AF22" s="35" t="s">
        <v>158</v>
      </c>
      <c r="AG22" s="48">
        <f>SUM(Z20:AG20)-SUM(Z21:AG21)</f>
        <v>0</v>
      </c>
    </row>
    <row r="23" spans="2:33" ht="30" customHeight="1" thickTop="1" x14ac:dyDescent="0.25">
      <c r="B23" s="54" t="s">
        <v>25</v>
      </c>
      <c r="C23" s="53">
        <v>0</v>
      </c>
      <c r="F23" s="54" t="s">
        <v>25</v>
      </c>
      <c r="G23" s="53">
        <v>0</v>
      </c>
      <c r="J23" s="54" t="s">
        <v>25</v>
      </c>
      <c r="K23" s="53">
        <v>0</v>
      </c>
      <c r="N23" s="54" t="s">
        <v>32</v>
      </c>
      <c r="O23" s="53">
        <v>0</v>
      </c>
      <c r="R23" s="54" t="s">
        <v>159</v>
      </c>
      <c r="S23" s="53">
        <v>0</v>
      </c>
      <c r="V23" s="54" t="s">
        <v>32</v>
      </c>
      <c r="W23" s="53">
        <v>0</v>
      </c>
      <c r="AA23" s="70"/>
      <c r="AB23" s="70"/>
    </row>
    <row r="24" spans="2:33" ht="30" customHeight="1" x14ac:dyDescent="0.25">
      <c r="B24" s="54" t="s">
        <v>160</v>
      </c>
      <c r="C24" s="53">
        <v>0</v>
      </c>
      <c r="F24" s="54" t="s">
        <v>26</v>
      </c>
      <c r="G24" s="53">
        <v>0</v>
      </c>
      <c r="J24" s="54" t="s">
        <v>26</v>
      </c>
      <c r="K24" s="53">
        <v>0</v>
      </c>
      <c r="N24" s="54" t="s">
        <v>161</v>
      </c>
      <c r="O24" s="53">
        <v>0</v>
      </c>
      <c r="R24" s="54" t="s">
        <v>162</v>
      </c>
      <c r="S24" s="53">
        <v>0</v>
      </c>
      <c r="V24" s="54" t="s">
        <v>54</v>
      </c>
      <c r="W24" s="53">
        <v>0</v>
      </c>
      <c r="AA24" s="69"/>
      <c r="AB24" s="69"/>
    </row>
    <row r="25" spans="2:33" ht="30" customHeight="1" x14ac:dyDescent="0.25">
      <c r="B25" s="54" t="s">
        <v>6</v>
      </c>
      <c r="C25" s="61">
        <f>SUM(Lista58112670[Preço])</f>
        <v>0</v>
      </c>
      <c r="F25" s="54" t="s">
        <v>6</v>
      </c>
      <c r="G25" s="61">
        <f>SUM(Lista58112671[Preço])</f>
        <v>0</v>
      </c>
      <c r="J25" s="54" t="s">
        <v>6</v>
      </c>
      <c r="K25" s="61">
        <f>SUM(Lista58112672[Preço])</f>
        <v>0</v>
      </c>
      <c r="N25" s="54" t="s">
        <v>6</v>
      </c>
      <c r="O25" s="61">
        <f>SUM(Lista58112673[[ ]])</f>
        <v>0</v>
      </c>
      <c r="R25" s="54" t="s">
        <v>6</v>
      </c>
      <c r="S25" s="61">
        <f>SUM(Lista58112674[Preço])</f>
        <v>0</v>
      </c>
      <c r="V25" s="54" t="s">
        <v>6</v>
      </c>
      <c r="W25" s="61">
        <f>SUM(Lista58112675[Preço])</f>
        <v>0</v>
      </c>
      <c r="AB25" s="34"/>
    </row>
    <row r="26" spans="2:33" ht="30" customHeight="1" x14ac:dyDescent="0.25">
      <c r="B26" s="54" t="s">
        <v>55</v>
      </c>
      <c r="C26" s="62">
        <v>200</v>
      </c>
      <c r="F26" s="54" t="s">
        <v>33</v>
      </c>
      <c r="G26" s="62">
        <v>109</v>
      </c>
      <c r="J26" s="54" t="s">
        <v>55</v>
      </c>
      <c r="K26" s="62">
        <v>120</v>
      </c>
      <c r="N26" s="54" t="s">
        <v>34</v>
      </c>
      <c r="O26" s="62">
        <v>30</v>
      </c>
      <c r="R26" s="54" t="s">
        <v>28</v>
      </c>
      <c r="S26" s="62">
        <v>40</v>
      </c>
      <c r="V26" s="54" t="s">
        <v>125</v>
      </c>
      <c r="W26" s="62">
        <v>30</v>
      </c>
      <c r="AD26" t="s">
        <v>18</v>
      </c>
    </row>
    <row r="27" spans="2:33" ht="30" customHeight="1" thickBot="1" x14ac:dyDescent="0.3">
      <c r="C27" s="10"/>
      <c r="F27" t="s">
        <v>18</v>
      </c>
      <c r="G27" s="28"/>
      <c r="K27" s="28"/>
      <c r="S27" s="28"/>
      <c r="W27" s="28"/>
    </row>
    <row r="28" spans="2:33" ht="30" customHeight="1" thickBot="1" x14ac:dyDescent="0.3">
      <c r="B28" s="18"/>
      <c r="G28" s="28"/>
      <c r="K28" s="28"/>
      <c r="W28" s="28"/>
      <c r="X28" s="28"/>
      <c r="Y28" s="19"/>
      <c r="Z28" s="53"/>
    </row>
    <row r="29" spans="2:33" ht="30" customHeight="1" thickBot="1" x14ac:dyDescent="0.35">
      <c r="B29" s="20"/>
      <c r="C29" s="57"/>
      <c r="G29" s="28"/>
      <c r="K29" s="17"/>
      <c r="X29" s="14"/>
    </row>
    <row r="30" spans="2:33" ht="30" customHeight="1" thickBot="1" x14ac:dyDescent="0.3">
      <c r="B30" s="19" t="s">
        <v>163</v>
      </c>
      <c r="C30" s="58"/>
      <c r="J30" s="31"/>
      <c r="K30" s="28"/>
      <c r="V30" s="59"/>
      <c r="W30" s="60"/>
    </row>
    <row r="31" spans="2:33" ht="30" customHeight="1" x14ac:dyDescent="0.25">
      <c r="B31" s="59" t="s">
        <v>22</v>
      </c>
      <c r="C31" s="64" t="s">
        <v>164</v>
      </c>
      <c r="D31" s="64" t="s">
        <v>165</v>
      </c>
      <c r="E31" s="64" t="s">
        <v>166</v>
      </c>
      <c r="V31" s="54"/>
      <c r="W31" s="55"/>
    </row>
    <row r="32" spans="2:33" ht="30" customHeight="1" x14ac:dyDescent="0.25">
      <c r="B32" s="54" t="s">
        <v>167</v>
      </c>
      <c r="C32" s="55">
        <v>90</v>
      </c>
      <c r="D32" s="55">
        <v>110</v>
      </c>
      <c r="E32" s="65">
        <v>90</v>
      </c>
      <c r="V32" s="54"/>
      <c r="W32" s="55"/>
    </row>
    <row r="33" spans="2:23" ht="30" customHeight="1" x14ac:dyDescent="0.25">
      <c r="B33" s="54" t="s">
        <v>168</v>
      </c>
      <c r="C33" s="55">
        <v>120</v>
      </c>
      <c r="D33" s="55">
        <v>150</v>
      </c>
      <c r="E33" s="65">
        <v>120</v>
      </c>
      <c r="V33" s="54"/>
      <c r="W33" s="55"/>
    </row>
    <row r="34" spans="2:23" ht="30" customHeight="1" x14ac:dyDescent="0.25">
      <c r="B34" s="54" t="s">
        <v>169</v>
      </c>
      <c r="C34" s="55">
        <v>100</v>
      </c>
      <c r="D34" s="55">
        <v>130</v>
      </c>
      <c r="E34" s="65">
        <v>130</v>
      </c>
      <c r="V34" s="28"/>
      <c r="W34" s="56"/>
    </row>
    <row r="35" spans="2:23" ht="30" customHeight="1" x14ac:dyDescent="0.25">
      <c r="B35" s="54" t="s">
        <v>170</v>
      </c>
      <c r="C35" s="53">
        <v>200</v>
      </c>
      <c r="D35" s="53">
        <v>300</v>
      </c>
      <c r="E35" s="56">
        <v>200</v>
      </c>
      <c r="V35" s="54"/>
      <c r="W35" s="53"/>
    </row>
    <row r="36" spans="2:23" ht="30" customHeight="1" x14ac:dyDescent="0.25">
      <c r="B36" s="54" t="s">
        <v>171</v>
      </c>
      <c r="C36" s="53">
        <v>80</v>
      </c>
      <c r="D36" s="53">
        <v>120</v>
      </c>
      <c r="E36" s="56">
        <v>80</v>
      </c>
      <c r="V36" s="54"/>
      <c r="W36" s="53"/>
    </row>
    <row r="37" spans="2:23" ht="30" customHeight="1" x14ac:dyDescent="0.25">
      <c r="B37" s="54" t="s">
        <v>172</v>
      </c>
      <c r="C37" s="53">
        <v>60</v>
      </c>
      <c r="D37" s="53">
        <v>80</v>
      </c>
      <c r="E37" s="56">
        <v>79</v>
      </c>
      <c r="V37" s="54"/>
      <c r="W37" s="61"/>
    </row>
    <row r="38" spans="2:23" ht="30" customHeight="1" x14ac:dyDescent="0.25">
      <c r="B38" s="26" t="s">
        <v>173</v>
      </c>
      <c r="C38" s="66" t="s">
        <v>174</v>
      </c>
      <c r="D38" s="66" t="s">
        <v>175</v>
      </c>
      <c r="E38" s="67" t="s">
        <v>176</v>
      </c>
      <c r="V38" s="54"/>
      <c r="W38" s="62"/>
    </row>
    <row r="39" spans="2:23" ht="30" customHeight="1" x14ac:dyDescent="0.25">
      <c r="B39" s="23" t="s">
        <v>177</v>
      </c>
      <c r="C39" s="66">
        <v>180</v>
      </c>
      <c r="D39" s="66">
        <v>230</v>
      </c>
      <c r="E39" s="67">
        <v>220</v>
      </c>
    </row>
    <row r="40" spans="2:23" ht="30" customHeight="1" x14ac:dyDescent="0.25">
      <c r="B40" s="23" t="s">
        <v>6</v>
      </c>
      <c r="C40" s="66">
        <f>SUM(C32:C39)</f>
        <v>830</v>
      </c>
      <c r="D40" s="66">
        <f>SUM(D32:D39)</f>
        <v>1120</v>
      </c>
      <c r="E40" s="67">
        <f>SUM(E32:E39)</f>
        <v>919</v>
      </c>
    </row>
    <row r="41" spans="2:23" ht="30" customHeight="1" x14ac:dyDescent="0.25">
      <c r="B41" s="24" t="s">
        <v>178</v>
      </c>
      <c r="C41" s="25">
        <f>E40-C40</f>
        <v>89</v>
      </c>
      <c r="D41" s="25">
        <f>E40-D40</f>
        <v>-201</v>
      </c>
      <c r="E41" s="56"/>
    </row>
    <row r="42" spans="2:23" ht="15" x14ac:dyDescent="0.25">
      <c r="H42" s="68"/>
    </row>
    <row r="43" spans="2:23" ht="15" x14ac:dyDescent="0.25">
      <c r="B43" s="68" t="s">
        <v>0</v>
      </c>
      <c r="C43" s="68" t="s">
        <v>179</v>
      </c>
      <c r="D43" s="68" t="s">
        <v>180</v>
      </c>
      <c r="E43" s="68" t="s">
        <v>181</v>
      </c>
      <c r="F43" s="68" t="s">
        <v>182</v>
      </c>
      <c r="G43" s="68" t="s">
        <v>183</v>
      </c>
      <c r="H43" s="68" t="s">
        <v>184</v>
      </c>
      <c r="I43" s="68" t="s">
        <v>185</v>
      </c>
      <c r="J43" t="s">
        <v>186</v>
      </c>
    </row>
    <row r="44" spans="2:23" ht="30" customHeight="1" x14ac:dyDescent="0.25">
      <c r="B44" s="38" t="s">
        <v>2</v>
      </c>
      <c r="C44" s="39">
        <f xml:space="preserve"> SUM(C5,G5,K5,O5,S5,W5,W19,S19,O19,K19,G19,C19)</f>
        <v>0</v>
      </c>
      <c r="D44" s="42">
        <v>283.79000000000002</v>
      </c>
      <c r="E44" s="42">
        <v>135.94999999999999</v>
      </c>
      <c r="F44" s="42">
        <v>135.94999999999999</v>
      </c>
      <c r="G44">
        <v>31.47</v>
      </c>
      <c r="I44" s="42">
        <f>SUM(Tabela17[[#This Row],[novembro]:[março]])</f>
        <v>587.16000000000008</v>
      </c>
      <c r="J44" s="44">
        <f>Tabela17[[#This Row],[valor]]-Tabela17[[#This Row],[real]]</f>
        <v>-587.16000000000008</v>
      </c>
    </row>
    <row r="45" spans="2:23" ht="30" customHeight="1" x14ac:dyDescent="0.25">
      <c r="B45" s="38" t="s">
        <v>3</v>
      </c>
      <c r="C45" s="39">
        <f>SUM(C20,G20,K20,O20,S20,W20,AA25,AB25)</f>
        <v>0</v>
      </c>
      <c r="D45" s="42">
        <v>0</v>
      </c>
      <c r="E45" s="42">
        <v>15.55</v>
      </c>
      <c r="F45" s="42">
        <v>15.55</v>
      </c>
      <c r="G45" s="42">
        <v>15.55</v>
      </c>
      <c r="H45" s="42">
        <v>15.55</v>
      </c>
      <c r="I45" s="42">
        <f>SUM(Tabela17[[#This Row],[novembro]:[março]])</f>
        <v>62.2</v>
      </c>
      <c r="J45" s="44">
        <f>Tabela17[[#This Row],[valor]]-Tabela17[[#This Row],[real]]</f>
        <v>-62.2</v>
      </c>
    </row>
    <row r="46" spans="2:23" ht="30" customHeight="1" x14ac:dyDescent="0.25">
      <c r="B46" s="38" t="s">
        <v>5</v>
      </c>
      <c r="C46" s="39">
        <f>SUM(G9,K8,O8,S8,W8,W22,S22,O22,K22,G22,C22,)</f>
        <v>0</v>
      </c>
      <c r="D46" s="42">
        <f>S22</f>
        <v>0</v>
      </c>
      <c r="E46" s="42">
        <v>17.86</v>
      </c>
      <c r="F46" s="42">
        <v>17.86</v>
      </c>
      <c r="G46" s="42">
        <v>17.86</v>
      </c>
      <c r="I46" s="42">
        <f>SUM(Tabela17[[#This Row],[novembro]:[março]])</f>
        <v>53.58</v>
      </c>
      <c r="J46" s="44">
        <f>Tabela17[[#This Row],[valor]]-Tabela17[[#This Row],[real]]</f>
        <v>-53.58</v>
      </c>
    </row>
    <row r="47" spans="2:23" ht="30" customHeight="1" x14ac:dyDescent="0.25">
      <c r="B47" s="38" t="s">
        <v>4</v>
      </c>
      <c r="C47" s="39">
        <f>SUM(C7,G7,K7,O7,S7,W7,C21,G21,K21,O21,S21,W21)</f>
        <v>0</v>
      </c>
      <c r="D47" s="42">
        <v>0</v>
      </c>
      <c r="E47" s="42">
        <f>250+58.72</f>
        <v>308.72000000000003</v>
      </c>
      <c r="F47" s="42">
        <v>58.72</v>
      </c>
      <c r="G47" s="42">
        <v>58.72</v>
      </c>
      <c r="H47" s="42">
        <v>58.72</v>
      </c>
      <c r="I47" s="42">
        <f>SUM(Tabela17[[#This Row],[novembro]:[março]])</f>
        <v>484.88000000000011</v>
      </c>
      <c r="J47" s="44">
        <f>Tabela17[[#This Row],[valor]]-Tabela17[[#This Row],[real]]</f>
        <v>-484.88000000000011</v>
      </c>
    </row>
    <row r="48" spans="2:23" ht="30" customHeight="1" x14ac:dyDescent="0.25">
      <c r="B48" s="40" t="s">
        <v>6</v>
      </c>
      <c r="C48" s="41">
        <f>SUM(C44:C47)</f>
        <v>0</v>
      </c>
      <c r="H48" s="43">
        <f>SUM(D44:H47)</f>
        <v>1187.82</v>
      </c>
      <c r="I48" s="42">
        <f>SUM(Tabela17[[#This Row],[novembro]:[março]])</f>
        <v>1187.82</v>
      </c>
      <c r="J48" s="44">
        <f>Tabela17[[#This Row],[valor]]-Tabela17[[#This Row],[real]]</f>
        <v>-1187.82</v>
      </c>
    </row>
  </sheetData>
  <mergeCells count="1">
    <mergeCell ref="AA23:AB23"/>
  </mergeCells>
  <phoneticPr fontId="21" alignment="center"/>
  <printOptions horizontalCentered="1"/>
  <pageMargins left="0.7" right="0.7" top="0.75" bottom="0.75" header="0.3" footer="0.3"/>
  <pageSetup paperSize="9" fitToHeight="0" orientation="portrait" horizontalDpi="4294967293" r:id="rId1"/>
  <headerFooter differentFirst="1">
    <oddFooter>Page &amp;P of &amp;N</oddFooter>
  </headerFooter>
  <tableParts count="14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8550C-F8ED-DE48-ACF4-B2406389987A}">
  <sheetPr>
    <tabColor theme="4"/>
    <pageSetUpPr fitToPage="1"/>
  </sheetPr>
  <dimension ref="B1:AJ25"/>
  <sheetViews>
    <sheetView showGridLines="0" workbookViewId="0">
      <selection activeCell="AB5" sqref="AB5"/>
    </sheetView>
  </sheetViews>
  <sheetFormatPr defaultColWidth="8.85546875" defaultRowHeight="30" customHeight="1" x14ac:dyDescent="0.25"/>
  <cols>
    <col min="1" max="1" width="2.7109375" customWidth="1"/>
    <col min="2" max="2" width="15.5703125" style="2" customWidth="1"/>
    <col min="3" max="3" width="10.28515625" style="5" customWidth="1"/>
    <col min="4" max="4" width="8.5703125" customWidth="1"/>
    <col min="5" max="5" width="15.5703125" customWidth="1"/>
    <col min="6" max="6" width="10.28515625" customWidth="1"/>
    <col min="7" max="7" width="9.7109375" customWidth="1"/>
    <col min="8" max="8" width="15.5703125" customWidth="1"/>
    <col min="9" max="9" width="10.28515625" customWidth="1"/>
    <col min="10" max="10" width="8.5703125" customWidth="1"/>
    <col min="11" max="11" width="15.5703125" customWidth="1"/>
    <col min="12" max="12" width="10.28515625" customWidth="1"/>
    <col min="13" max="13" width="9.7109375" customWidth="1"/>
    <col min="14" max="14" width="15.5703125" customWidth="1"/>
    <col min="15" max="15" width="10.28515625" customWidth="1"/>
    <col min="16" max="16" width="8.5703125" customWidth="1"/>
    <col min="17" max="17" width="15.5703125" customWidth="1"/>
    <col min="18" max="18" width="10.28515625" customWidth="1"/>
    <col min="19" max="19" width="9.7109375" customWidth="1"/>
    <col min="20" max="20" width="15.5703125" customWidth="1"/>
    <col min="21" max="21" width="10.28515625" customWidth="1"/>
    <col min="22" max="22" width="8.5703125" customWidth="1"/>
    <col min="23" max="23" width="15.5703125" customWidth="1"/>
    <col min="24" max="24" width="10.28515625" customWidth="1"/>
    <col min="25" max="25" width="9.7109375" customWidth="1"/>
    <col min="26" max="26" width="15.5703125" customWidth="1"/>
    <col min="27" max="27" width="10.28515625" customWidth="1"/>
    <col min="28" max="28" width="8.5703125" customWidth="1"/>
    <col min="29" max="29" width="15.5703125" customWidth="1"/>
    <col min="30" max="30" width="10.28515625" customWidth="1"/>
    <col min="31" max="31" width="9.7109375" customWidth="1"/>
    <col min="32" max="32" width="15.5703125" customWidth="1"/>
    <col min="33" max="33" width="10.28515625" customWidth="1"/>
    <col min="34" max="34" width="8.5703125" customWidth="1"/>
    <col min="35" max="35" width="15.5703125" customWidth="1"/>
    <col min="36" max="36" width="10.28515625" customWidth="1"/>
  </cols>
  <sheetData>
    <row r="1" spans="2:36" ht="34.5" customHeight="1" x14ac:dyDescent="0.25">
      <c r="B1" s="3" t="s">
        <v>7</v>
      </c>
      <c r="H1" s="3" t="s">
        <v>8</v>
      </c>
      <c r="I1" s="5"/>
      <c r="N1" s="3" t="s">
        <v>9</v>
      </c>
      <c r="O1" s="5"/>
      <c r="T1" s="3" t="s">
        <v>15</v>
      </c>
      <c r="U1" s="5"/>
      <c r="Z1" s="3" t="s">
        <v>16</v>
      </c>
      <c r="AA1" s="5"/>
      <c r="AF1" s="3" t="s">
        <v>17</v>
      </c>
      <c r="AG1" s="5"/>
    </row>
    <row r="2" spans="2:36" ht="30" customHeight="1" thickBot="1" x14ac:dyDescent="0.35">
      <c r="B2" s="4" t="s">
        <v>187</v>
      </c>
      <c r="D2" s="1"/>
      <c r="E2" s="4" t="s">
        <v>188</v>
      </c>
      <c r="F2" s="5"/>
      <c r="H2" s="4" t="s">
        <v>187</v>
      </c>
      <c r="I2" s="5"/>
      <c r="J2" s="1"/>
      <c r="K2" s="4" t="s">
        <v>188</v>
      </c>
      <c r="L2" s="5"/>
      <c r="N2" s="4" t="s">
        <v>187</v>
      </c>
      <c r="O2" s="5"/>
      <c r="P2" s="1"/>
      <c r="Q2" s="4" t="s">
        <v>188</v>
      </c>
      <c r="R2" s="5"/>
      <c r="T2" s="4" t="s">
        <v>187</v>
      </c>
      <c r="U2" s="5"/>
      <c r="V2" s="1"/>
      <c r="W2" s="4" t="s">
        <v>188</v>
      </c>
      <c r="X2" s="5"/>
      <c r="Z2" s="4" t="s">
        <v>187</v>
      </c>
      <c r="AA2" s="5"/>
      <c r="AB2" s="1"/>
      <c r="AC2" s="4" t="s">
        <v>188</v>
      </c>
      <c r="AD2" s="5"/>
      <c r="AF2" s="4" t="s">
        <v>187</v>
      </c>
      <c r="AG2" s="5"/>
      <c r="AH2" s="1"/>
      <c r="AI2" s="4" t="s">
        <v>188</v>
      </c>
      <c r="AJ2" s="5"/>
    </row>
    <row r="3" spans="2:36" ht="30" customHeight="1" thickBot="1" x14ac:dyDescent="0.3">
      <c r="B3" s="11" t="s">
        <v>189</v>
      </c>
      <c r="C3" s="13" t="s">
        <v>88</v>
      </c>
      <c r="D3" s="14">
        <v>500</v>
      </c>
      <c r="E3" s="11" t="s">
        <v>190</v>
      </c>
      <c r="F3" s="2" t="s">
        <v>191</v>
      </c>
      <c r="H3" s="11" t="s">
        <v>189</v>
      </c>
      <c r="I3" s="13" t="s">
        <v>88</v>
      </c>
      <c r="J3" s="14">
        <v>500</v>
      </c>
      <c r="K3" s="11" t="s">
        <v>190</v>
      </c>
      <c r="L3" s="2"/>
      <c r="N3" s="11" t="s">
        <v>189</v>
      </c>
      <c r="O3" s="13" t="s">
        <v>88</v>
      </c>
      <c r="P3" s="14">
        <v>500</v>
      </c>
      <c r="Q3" s="11" t="s">
        <v>190</v>
      </c>
      <c r="R3" s="2"/>
      <c r="T3" s="11" t="s">
        <v>189</v>
      </c>
      <c r="U3" s="13" t="s">
        <v>88</v>
      </c>
      <c r="V3" s="14">
        <v>500</v>
      </c>
      <c r="W3" s="11" t="s">
        <v>190</v>
      </c>
      <c r="X3" s="2"/>
      <c r="Z3" s="11" t="s">
        <v>189</v>
      </c>
      <c r="AA3" s="13" t="s">
        <v>88</v>
      </c>
      <c r="AB3" s="14">
        <v>500</v>
      </c>
      <c r="AC3" s="11" t="s">
        <v>190</v>
      </c>
      <c r="AD3" s="2"/>
      <c r="AF3" s="11" t="s">
        <v>189</v>
      </c>
      <c r="AG3" s="13" t="s">
        <v>88</v>
      </c>
      <c r="AH3" s="14">
        <v>500</v>
      </c>
      <c r="AI3" s="11" t="s">
        <v>190</v>
      </c>
      <c r="AJ3" s="2"/>
    </row>
    <row r="4" spans="2:36" ht="30" customHeight="1" x14ac:dyDescent="0.25">
      <c r="B4" s="6" t="s">
        <v>22</v>
      </c>
      <c r="C4" s="7" t="s">
        <v>23</v>
      </c>
      <c r="E4" s="6" t="s">
        <v>22</v>
      </c>
      <c r="F4" s="7" t="s">
        <v>23</v>
      </c>
      <c r="H4" s="6" t="s">
        <v>22</v>
      </c>
      <c r="I4" s="7" t="s">
        <v>23</v>
      </c>
      <c r="K4" s="6" t="s">
        <v>22</v>
      </c>
      <c r="L4" s="7" t="s">
        <v>23</v>
      </c>
      <c r="N4" s="6" t="s">
        <v>22</v>
      </c>
      <c r="O4" s="7" t="s">
        <v>23</v>
      </c>
      <c r="Q4" s="6" t="s">
        <v>22</v>
      </c>
      <c r="R4" s="7" t="s">
        <v>23</v>
      </c>
      <c r="T4" s="6" t="s">
        <v>22</v>
      </c>
      <c r="U4" s="7" t="s">
        <v>23</v>
      </c>
      <c r="W4" s="6" t="s">
        <v>22</v>
      </c>
      <c r="X4" s="7" t="s">
        <v>23</v>
      </c>
      <c r="Z4" s="6" t="s">
        <v>22</v>
      </c>
      <c r="AA4" s="7" t="s">
        <v>23</v>
      </c>
      <c r="AC4" s="6" t="s">
        <v>22</v>
      </c>
      <c r="AD4" s="7" t="s">
        <v>23</v>
      </c>
      <c r="AF4" s="6" t="s">
        <v>22</v>
      </c>
      <c r="AG4" s="7" t="s">
        <v>23</v>
      </c>
      <c r="AI4" s="6" t="s">
        <v>22</v>
      </c>
      <c r="AJ4" s="7" t="s">
        <v>23</v>
      </c>
    </row>
    <row r="5" spans="2:36" ht="42.75" customHeight="1" x14ac:dyDescent="0.25">
      <c r="B5" s="2" t="s">
        <v>99</v>
      </c>
      <c r="C5" s="8">
        <v>454.69</v>
      </c>
      <c r="E5" s="2" t="s">
        <v>99</v>
      </c>
      <c r="F5" s="8">
        <v>32</v>
      </c>
      <c r="H5" s="2" t="s">
        <v>99</v>
      </c>
      <c r="I5" s="8">
        <v>464.69</v>
      </c>
      <c r="K5" s="2" t="s">
        <v>99</v>
      </c>
      <c r="L5" s="8">
        <v>105.72</v>
      </c>
      <c r="N5" s="2" t="s">
        <v>192</v>
      </c>
      <c r="O5" s="8"/>
      <c r="Q5" s="2" t="s">
        <v>99</v>
      </c>
      <c r="R5" s="8">
        <v>392</v>
      </c>
      <c r="T5" s="2" t="s">
        <v>192</v>
      </c>
      <c r="U5" s="8">
        <v>76.34</v>
      </c>
      <c r="W5" s="2" t="s">
        <v>99</v>
      </c>
      <c r="X5" s="8">
        <v>586.05999999999995</v>
      </c>
      <c r="Z5" s="2" t="s">
        <v>192</v>
      </c>
      <c r="AA5" s="8">
        <f>24+60+3.9</f>
        <v>87.9</v>
      </c>
      <c r="AC5" s="2" t="s">
        <v>99</v>
      </c>
      <c r="AD5" s="8">
        <v>29.17</v>
      </c>
      <c r="AF5" s="2" t="s">
        <v>99</v>
      </c>
      <c r="AG5" s="8">
        <v>34.5</v>
      </c>
      <c r="AI5" s="2" t="s">
        <v>99</v>
      </c>
      <c r="AJ5" s="8"/>
    </row>
    <row r="6" spans="2:36" ht="30" customHeight="1" x14ac:dyDescent="0.25">
      <c r="C6" s="8"/>
      <c r="E6" s="2"/>
      <c r="F6" s="8"/>
      <c r="H6" s="2"/>
      <c r="I6" s="8"/>
      <c r="K6" s="2"/>
      <c r="L6" s="8"/>
      <c r="N6" s="2" t="s">
        <v>193</v>
      </c>
      <c r="O6" s="8"/>
      <c r="Q6" s="2"/>
      <c r="R6" s="8"/>
      <c r="T6" s="2" t="s">
        <v>193</v>
      </c>
      <c r="U6" s="8">
        <v>496</v>
      </c>
      <c r="W6" s="2"/>
      <c r="X6" s="8"/>
      <c r="Z6" s="2" t="s">
        <v>193</v>
      </c>
      <c r="AA6" s="8">
        <v>28</v>
      </c>
      <c r="AC6" s="2"/>
      <c r="AD6" s="8"/>
      <c r="AF6" s="2"/>
      <c r="AG6" s="8"/>
      <c r="AI6" s="2"/>
      <c r="AJ6" s="8"/>
    </row>
    <row r="7" spans="2:36" ht="30" customHeight="1" x14ac:dyDescent="0.25">
      <c r="C7" s="8"/>
      <c r="E7" s="2"/>
      <c r="F7" s="8"/>
      <c r="H7" s="2"/>
      <c r="I7" s="8"/>
      <c r="K7" s="2"/>
      <c r="L7" s="8"/>
      <c r="N7" s="2" t="s">
        <v>79</v>
      </c>
      <c r="O7" s="8"/>
      <c r="Q7" s="2"/>
      <c r="R7" s="8"/>
      <c r="T7" s="2" t="s">
        <v>79</v>
      </c>
      <c r="U7" s="8">
        <v>142.69999999999999</v>
      </c>
      <c r="W7" s="2"/>
      <c r="X7" s="8"/>
      <c r="Z7" s="2" t="s">
        <v>79</v>
      </c>
      <c r="AA7" s="8">
        <v>139.9</v>
      </c>
      <c r="AC7" s="2"/>
      <c r="AD7" s="8"/>
      <c r="AF7" s="2"/>
      <c r="AG7" s="8"/>
      <c r="AI7" s="2"/>
      <c r="AJ7" s="8"/>
    </row>
    <row r="8" spans="2:36" ht="30" customHeight="1" x14ac:dyDescent="0.25">
      <c r="C8" s="9"/>
      <c r="E8" s="2"/>
      <c r="F8" s="9"/>
      <c r="H8" s="2"/>
      <c r="I8" s="9"/>
      <c r="K8" s="2"/>
      <c r="L8" s="9"/>
      <c r="N8" s="2"/>
      <c r="O8" s="9"/>
      <c r="Q8" s="2"/>
      <c r="R8" s="9"/>
      <c r="T8" s="2"/>
      <c r="U8" s="9"/>
      <c r="W8" s="2"/>
      <c r="X8" s="9"/>
      <c r="Z8" s="2"/>
      <c r="AA8" s="9"/>
      <c r="AC8" s="2"/>
      <c r="AD8" s="9"/>
      <c r="AF8" s="2"/>
      <c r="AG8" s="9"/>
      <c r="AI8" s="2"/>
      <c r="AJ8" s="9"/>
    </row>
    <row r="9" spans="2:36" ht="30" customHeight="1" x14ac:dyDescent="0.25">
      <c r="C9" s="9"/>
      <c r="E9" s="2" t="s">
        <v>18</v>
      </c>
      <c r="F9" s="9"/>
      <c r="H9" s="2"/>
      <c r="I9" s="9"/>
      <c r="K9" s="2" t="s">
        <v>18</v>
      </c>
      <c r="L9" s="9"/>
      <c r="N9" s="2"/>
      <c r="O9" s="9"/>
      <c r="Q9" s="2" t="s">
        <v>18</v>
      </c>
      <c r="R9" s="9"/>
      <c r="T9" s="2"/>
      <c r="U9" s="9"/>
      <c r="W9" s="2" t="s">
        <v>18</v>
      </c>
      <c r="X9" s="9"/>
      <c r="Z9" s="2"/>
      <c r="AA9" s="9"/>
      <c r="AC9" s="2" t="s">
        <v>18</v>
      </c>
      <c r="AD9" s="9"/>
      <c r="AF9" s="2"/>
      <c r="AG9" s="9"/>
      <c r="AI9" s="2" t="s">
        <v>18</v>
      </c>
      <c r="AJ9" s="9"/>
    </row>
    <row r="10" spans="2:36" ht="30" customHeight="1" x14ac:dyDescent="0.25">
      <c r="C10" s="9"/>
      <c r="E10" s="2" t="s">
        <v>18</v>
      </c>
      <c r="F10" s="9"/>
      <c r="H10" s="2"/>
      <c r="I10" s="9"/>
      <c r="K10" s="2" t="s">
        <v>18</v>
      </c>
      <c r="L10" s="9"/>
      <c r="N10" s="2"/>
      <c r="O10" s="9"/>
      <c r="Q10" s="2" t="s">
        <v>18</v>
      </c>
      <c r="R10" s="9"/>
      <c r="T10" s="2"/>
      <c r="U10" s="9"/>
      <c r="W10" s="2" t="s">
        <v>18</v>
      </c>
      <c r="X10" s="9"/>
      <c r="Z10" s="2"/>
      <c r="AA10" s="9"/>
      <c r="AC10" s="2" t="s">
        <v>18</v>
      </c>
      <c r="AD10" s="9"/>
      <c r="AF10" s="2"/>
      <c r="AG10" s="9"/>
      <c r="AI10" s="2" t="s">
        <v>18</v>
      </c>
      <c r="AJ10" s="9"/>
    </row>
    <row r="11" spans="2:36" ht="30" customHeight="1" x14ac:dyDescent="0.25">
      <c r="B11" s="2" t="s">
        <v>6</v>
      </c>
      <c r="C11" s="9">
        <f>SUM(Lista5811261337[Preço])</f>
        <v>454.69</v>
      </c>
      <c r="E11" s="2" t="s">
        <v>6</v>
      </c>
      <c r="F11" s="27">
        <f>SUM(Lista36912271450[Preço])</f>
        <v>32</v>
      </c>
      <c r="H11" s="2" t="s">
        <v>6</v>
      </c>
      <c r="I11" s="9">
        <f>SUM(Lista581126131152[Preço])</f>
        <v>464.69</v>
      </c>
      <c r="K11" s="2" t="s">
        <v>6</v>
      </c>
      <c r="L11" s="16">
        <f>SUM(Lista3691227141253[Preço])</f>
        <v>105.72</v>
      </c>
      <c r="N11" s="2" t="s">
        <v>6</v>
      </c>
      <c r="O11" s="27">
        <f>SUM(Lista58112613111554[Preço])</f>
        <v>0</v>
      </c>
      <c r="Q11" s="2" t="s">
        <v>6</v>
      </c>
      <c r="R11" s="16">
        <f>SUM(Lista369122714121655[Preço])</f>
        <v>392</v>
      </c>
      <c r="T11" s="2" t="s">
        <v>6</v>
      </c>
      <c r="U11" s="16">
        <f>SUM(Lista58112613111756[Preço])</f>
        <v>715.04</v>
      </c>
      <c r="W11" s="2" t="s">
        <v>6</v>
      </c>
      <c r="X11" s="16">
        <f>SUM(Lista369122714121957[Preço])</f>
        <v>586.05999999999995</v>
      </c>
      <c r="Z11" s="2" t="s">
        <v>6</v>
      </c>
      <c r="AA11" s="16">
        <f>SUM(Lista58112613112058[Preço])</f>
        <v>255.8</v>
      </c>
      <c r="AC11" s="2" t="s">
        <v>6</v>
      </c>
      <c r="AD11" s="16">
        <f>SUM(Lista369122714122159[Preço])</f>
        <v>29.17</v>
      </c>
      <c r="AF11" s="2" t="s">
        <v>6</v>
      </c>
      <c r="AG11" s="27">
        <f>SUM(Lista58112613112260[Preço])</f>
        <v>34.5</v>
      </c>
      <c r="AI11" s="2" t="s">
        <v>6</v>
      </c>
      <c r="AJ11" s="16">
        <f>SUM(Lista369122714122361[Preço])</f>
        <v>0</v>
      </c>
    </row>
    <row r="12" spans="2:36" ht="30" customHeight="1" x14ac:dyDescent="0.25">
      <c r="B12" s="2" t="s">
        <v>29</v>
      </c>
      <c r="C12" s="10">
        <f>$V$3-SUM(E14)-Lista5811261337[[#Totals],[Preço]]</f>
        <v>45.31</v>
      </c>
      <c r="F12" s="2"/>
      <c r="G12" s="10"/>
      <c r="H12" s="2" t="s">
        <v>29</v>
      </c>
      <c r="I12" s="10">
        <f>$V$3-SUM(K14)-Lista581126131152[[#Totals],[Preço]]</f>
        <v>35.31</v>
      </c>
      <c r="K12" t="s">
        <v>194</v>
      </c>
      <c r="L12" s="22">
        <f>Lista3691227141253[[#Totals],[Preço]]+Lista581126131152[[#Totals],[Preço]]</f>
        <v>570.41</v>
      </c>
      <c r="N12" s="2" t="s">
        <v>29</v>
      </c>
      <c r="O12" s="10">
        <f>$V$3-SUM(Q14)-Lista58112613111554[[#Totals],[Preço]]</f>
        <v>500</v>
      </c>
      <c r="Q12" t="s">
        <v>194</v>
      </c>
      <c r="R12" s="22">
        <f>Lista369122714121655[[#Totals],[Preço]]+Lista58112613111554[[#Totals],[Preço]]</f>
        <v>392</v>
      </c>
      <c r="T12" s="2" t="s">
        <v>29</v>
      </c>
      <c r="U12" s="10">
        <f>$V$3-SUM(W14)-Lista58112613111756[[#Totals],[Preço]]</f>
        <v>-215.03999999999996</v>
      </c>
      <c r="W12" t="s">
        <v>194</v>
      </c>
      <c r="X12" s="22">
        <f>Lista369122714121957[[#Totals],[Preço]]+U11</f>
        <v>1301.0999999999999</v>
      </c>
      <c r="Z12" s="2" t="s">
        <v>29</v>
      </c>
      <c r="AA12" s="10">
        <f>$V$3-SUM(AC14)-Lista58112613112058[[#Totals],[Preço]]</f>
        <v>244.2</v>
      </c>
      <c r="AC12" t="s">
        <v>194</v>
      </c>
      <c r="AD12" s="22">
        <f>Lista369122714122159[[#Totals],[Preço]]+Lista58112613112058[[#Totals],[Preço]]</f>
        <v>284.97000000000003</v>
      </c>
      <c r="AF12" s="2" t="s">
        <v>125</v>
      </c>
      <c r="AG12" s="10">
        <f>$AH$3-Lista58112613112260[[#Totals],[Preço]]</f>
        <v>465.5</v>
      </c>
      <c r="AI12" t="s">
        <v>194</v>
      </c>
      <c r="AJ12" s="22">
        <f>Lista58112613112260[[#Totals],[Preço]]+Lista369122714122361[[#Totals],[Preço]]</f>
        <v>34.5</v>
      </c>
    </row>
    <row r="13" spans="2:36" ht="30" customHeight="1" x14ac:dyDescent="0.25">
      <c r="J13" s="2"/>
      <c r="K13" s="10"/>
      <c r="R13" s="2"/>
      <c r="S13" s="10"/>
    </row>
    <row r="14" spans="2:36" ht="30" customHeight="1" x14ac:dyDescent="0.25">
      <c r="B14" s="3" t="s">
        <v>30</v>
      </c>
      <c r="H14" s="3" t="s">
        <v>10</v>
      </c>
      <c r="I14" s="5"/>
      <c r="N14" s="3" t="s">
        <v>11</v>
      </c>
      <c r="O14" s="5"/>
      <c r="T14" s="3" t="s">
        <v>12</v>
      </c>
      <c r="U14" s="5"/>
      <c r="Z14" s="3" t="s">
        <v>13</v>
      </c>
      <c r="AA14" s="5"/>
      <c r="AF14" s="3" t="s">
        <v>14</v>
      </c>
      <c r="AG14" s="5"/>
    </row>
    <row r="15" spans="2:36" ht="30" customHeight="1" thickBot="1" x14ac:dyDescent="0.35">
      <c r="B15" s="4" t="s">
        <v>187</v>
      </c>
      <c r="D15" s="1"/>
      <c r="E15" s="4" t="s">
        <v>188</v>
      </c>
      <c r="F15" s="5"/>
      <c r="H15" s="4" t="s">
        <v>187</v>
      </c>
      <c r="I15" s="5"/>
      <c r="J15" s="1"/>
      <c r="K15" s="4" t="s">
        <v>188</v>
      </c>
      <c r="L15" s="5"/>
      <c r="N15" s="4" t="s">
        <v>187</v>
      </c>
      <c r="O15" s="5"/>
      <c r="P15" s="1"/>
      <c r="Q15" s="4" t="s">
        <v>188</v>
      </c>
      <c r="R15" s="5"/>
      <c r="T15" s="4" t="s">
        <v>187</v>
      </c>
      <c r="U15" s="5"/>
      <c r="V15" s="1"/>
      <c r="W15" s="4" t="s">
        <v>188</v>
      </c>
      <c r="X15" s="5"/>
      <c r="Z15" s="4" t="s">
        <v>187</v>
      </c>
      <c r="AA15" s="5"/>
      <c r="AB15" s="1"/>
      <c r="AC15" s="4" t="s">
        <v>188</v>
      </c>
      <c r="AD15" s="5"/>
      <c r="AF15" s="4" t="s">
        <v>187</v>
      </c>
      <c r="AG15" s="5"/>
      <c r="AH15" s="1"/>
      <c r="AI15" s="4" t="s">
        <v>188</v>
      </c>
      <c r="AJ15" s="5"/>
    </row>
    <row r="16" spans="2:36" ht="30" customHeight="1" thickBot="1" x14ac:dyDescent="0.3">
      <c r="B16" s="11" t="s">
        <v>189</v>
      </c>
      <c r="C16" s="13" t="s">
        <v>88</v>
      </c>
      <c r="D16" s="14">
        <v>500</v>
      </c>
      <c r="E16" s="11" t="s">
        <v>190</v>
      </c>
      <c r="F16" s="2"/>
      <c r="G16" s="5"/>
      <c r="H16" s="11" t="s">
        <v>189</v>
      </c>
      <c r="I16" s="13" t="s">
        <v>88</v>
      </c>
      <c r="J16" s="14">
        <v>500</v>
      </c>
      <c r="K16" s="11" t="s">
        <v>190</v>
      </c>
      <c r="L16" s="2"/>
      <c r="N16" s="11" t="s">
        <v>189</v>
      </c>
      <c r="O16" s="13" t="s">
        <v>88</v>
      </c>
      <c r="P16" s="14">
        <v>500</v>
      </c>
      <c r="Q16" s="11" t="s">
        <v>190</v>
      </c>
      <c r="R16" s="2"/>
      <c r="T16" s="11" t="s">
        <v>189</v>
      </c>
      <c r="U16" s="13" t="s">
        <v>88</v>
      </c>
      <c r="V16" s="14">
        <v>500</v>
      </c>
      <c r="W16" s="11" t="s">
        <v>190</v>
      </c>
      <c r="X16" s="2"/>
      <c r="Z16" s="11" t="s">
        <v>189</v>
      </c>
      <c r="AA16" s="13" t="s">
        <v>88</v>
      </c>
      <c r="AB16" s="14">
        <v>500</v>
      </c>
      <c r="AC16" s="11" t="s">
        <v>190</v>
      </c>
      <c r="AD16" s="2"/>
      <c r="AF16" s="11" t="s">
        <v>189</v>
      </c>
      <c r="AG16" s="13" t="s">
        <v>88</v>
      </c>
      <c r="AH16" s="14">
        <v>500</v>
      </c>
      <c r="AI16" s="11" t="s">
        <v>190</v>
      </c>
      <c r="AJ16" s="2"/>
    </row>
    <row r="17" spans="2:36" ht="30" customHeight="1" x14ac:dyDescent="0.25">
      <c r="B17" s="6" t="s">
        <v>22</v>
      </c>
      <c r="C17" s="7" t="s">
        <v>23</v>
      </c>
      <c r="E17" s="6" t="s">
        <v>22</v>
      </c>
      <c r="F17" s="7" t="s">
        <v>23</v>
      </c>
      <c r="G17" s="8"/>
      <c r="H17" s="6" t="s">
        <v>22</v>
      </c>
      <c r="I17" s="7" t="s">
        <v>23</v>
      </c>
      <c r="K17" s="6" t="s">
        <v>22</v>
      </c>
      <c r="L17" s="7" t="s">
        <v>23</v>
      </c>
      <c r="N17" s="6" t="s">
        <v>22</v>
      </c>
      <c r="O17" s="7" t="s">
        <v>23</v>
      </c>
      <c r="Q17" s="6" t="s">
        <v>22</v>
      </c>
      <c r="R17" s="7" t="s">
        <v>23</v>
      </c>
      <c r="T17" s="6" t="s">
        <v>22</v>
      </c>
      <c r="U17" s="7" t="s">
        <v>23</v>
      </c>
      <c r="W17" s="6" t="s">
        <v>22</v>
      </c>
      <c r="X17" s="7" t="s">
        <v>23</v>
      </c>
      <c r="Z17" s="6" t="s">
        <v>22</v>
      </c>
      <c r="AA17" s="7" t="s">
        <v>23</v>
      </c>
      <c r="AC17" s="6" t="s">
        <v>22</v>
      </c>
      <c r="AD17" s="7" t="s">
        <v>23</v>
      </c>
      <c r="AF17" s="6" t="s">
        <v>22</v>
      </c>
      <c r="AG17" s="7" t="s">
        <v>23</v>
      </c>
      <c r="AI17" s="6" t="s">
        <v>22</v>
      </c>
      <c r="AJ17" s="7" t="s">
        <v>23</v>
      </c>
    </row>
    <row r="18" spans="2:36" ht="30" customHeight="1" x14ac:dyDescent="0.25">
      <c r="B18" s="2" t="s">
        <v>99</v>
      </c>
      <c r="C18" s="8"/>
      <c r="E18" s="2" t="s">
        <v>99</v>
      </c>
      <c r="F18" s="8"/>
      <c r="G18" s="8"/>
      <c r="H18" s="2" t="s">
        <v>99</v>
      </c>
      <c r="I18" s="8"/>
      <c r="K18" s="2" t="s">
        <v>99</v>
      </c>
      <c r="L18" s="8"/>
      <c r="N18" s="2" t="s">
        <v>99</v>
      </c>
      <c r="O18" s="8"/>
      <c r="Q18" s="2" t="s">
        <v>99</v>
      </c>
      <c r="R18" s="8"/>
      <c r="T18" s="2" t="s">
        <v>99</v>
      </c>
      <c r="U18" s="8"/>
      <c r="W18" s="2" t="s">
        <v>99</v>
      </c>
      <c r="X18" s="8"/>
      <c r="Z18" s="2" t="s">
        <v>99</v>
      </c>
      <c r="AA18" s="8"/>
      <c r="AC18" s="2" t="s">
        <v>99</v>
      </c>
      <c r="AD18" s="8"/>
      <c r="AF18" s="2" t="s">
        <v>99</v>
      </c>
      <c r="AG18" s="8"/>
      <c r="AI18" s="2" t="s">
        <v>99</v>
      </c>
      <c r="AJ18" s="8"/>
    </row>
    <row r="19" spans="2:36" ht="30" customHeight="1" x14ac:dyDescent="0.25">
      <c r="C19" s="8"/>
      <c r="E19" s="2"/>
      <c r="F19" s="8"/>
      <c r="G19" s="8"/>
      <c r="H19" s="2"/>
      <c r="I19" s="8"/>
      <c r="K19" s="2"/>
      <c r="L19" s="8"/>
      <c r="N19" s="2"/>
      <c r="O19" s="8"/>
      <c r="Q19" s="2"/>
      <c r="R19" s="8"/>
      <c r="T19" s="2"/>
      <c r="U19" s="8"/>
      <c r="W19" s="2"/>
      <c r="X19" s="8"/>
      <c r="Z19" s="2"/>
      <c r="AA19" s="8"/>
      <c r="AC19" s="2"/>
      <c r="AD19" s="8"/>
      <c r="AF19" s="2"/>
      <c r="AG19" s="8"/>
      <c r="AI19" s="2"/>
      <c r="AJ19" s="8"/>
    </row>
    <row r="20" spans="2:36" ht="30" customHeight="1" x14ac:dyDescent="0.25">
      <c r="C20" s="8"/>
      <c r="E20" s="2"/>
      <c r="F20" s="8"/>
      <c r="G20" s="9"/>
      <c r="H20" s="2"/>
      <c r="I20" s="8"/>
      <c r="K20" s="2"/>
      <c r="L20" s="8"/>
      <c r="N20" s="2"/>
      <c r="O20" s="8"/>
      <c r="Q20" s="2"/>
      <c r="R20" s="8"/>
      <c r="T20" s="2"/>
      <c r="U20" s="8"/>
      <c r="W20" s="2"/>
      <c r="X20" s="8"/>
      <c r="Z20" s="2"/>
      <c r="AA20" s="8"/>
      <c r="AC20" s="2"/>
      <c r="AD20" s="8"/>
      <c r="AF20" s="2"/>
      <c r="AG20" s="8"/>
      <c r="AI20" s="2"/>
      <c r="AJ20" s="8"/>
    </row>
    <row r="21" spans="2:36" ht="30" customHeight="1" x14ac:dyDescent="0.25">
      <c r="C21" s="9"/>
      <c r="E21" s="2"/>
      <c r="F21" s="9"/>
      <c r="G21" s="9"/>
      <c r="H21" s="2"/>
      <c r="I21" s="9"/>
      <c r="K21" s="2"/>
      <c r="L21" s="9"/>
      <c r="N21" s="2"/>
      <c r="O21" s="9"/>
      <c r="Q21" s="2"/>
      <c r="R21" s="9"/>
      <c r="T21" s="2"/>
      <c r="U21" s="9"/>
      <c r="W21" s="2"/>
      <c r="X21" s="9"/>
      <c r="Z21" s="2"/>
      <c r="AA21" s="9"/>
      <c r="AC21" s="2"/>
      <c r="AD21" s="9"/>
      <c r="AF21" s="2"/>
      <c r="AG21" s="9"/>
      <c r="AI21" s="2"/>
      <c r="AJ21" s="9"/>
    </row>
    <row r="22" spans="2:36" ht="30" customHeight="1" x14ac:dyDescent="0.25">
      <c r="C22" s="9"/>
      <c r="E22" s="2" t="s">
        <v>18</v>
      </c>
      <c r="F22" s="9"/>
      <c r="G22" s="9"/>
      <c r="H22" s="2"/>
      <c r="I22" s="9"/>
      <c r="K22" s="2" t="s">
        <v>18</v>
      </c>
      <c r="L22" s="9"/>
      <c r="N22" s="2"/>
      <c r="O22" s="9"/>
      <c r="Q22" s="2" t="s">
        <v>18</v>
      </c>
      <c r="R22" s="9"/>
      <c r="T22" s="2"/>
      <c r="U22" s="9"/>
      <c r="W22" s="2" t="s">
        <v>18</v>
      </c>
      <c r="X22" s="9"/>
      <c r="Z22" s="2"/>
      <c r="AA22" s="9"/>
      <c r="AC22" s="2" t="s">
        <v>18</v>
      </c>
      <c r="AD22" s="9"/>
      <c r="AF22" s="2"/>
      <c r="AG22" s="9"/>
      <c r="AI22" s="2" t="s">
        <v>18</v>
      </c>
      <c r="AJ22" s="9"/>
    </row>
    <row r="23" spans="2:36" ht="30" customHeight="1" x14ac:dyDescent="0.25">
      <c r="C23" s="9"/>
      <c r="E23" s="2" t="s">
        <v>18</v>
      </c>
      <c r="F23" s="9"/>
      <c r="G23" s="9"/>
      <c r="H23" s="2"/>
      <c r="I23" s="9"/>
      <c r="K23" s="2" t="s">
        <v>18</v>
      </c>
      <c r="L23" s="9"/>
      <c r="N23" s="2"/>
      <c r="O23" s="9"/>
      <c r="Q23" s="2" t="s">
        <v>18</v>
      </c>
      <c r="R23" s="9"/>
      <c r="T23" s="2"/>
      <c r="U23" s="9"/>
      <c r="W23" s="2" t="s">
        <v>18</v>
      </c>
      <c r="X23" s="9"/>
      <c r="Z23" s="2"/>
      <c r="AA23" s="9"/>
      <c r="AC23" s="2" t="s">
        <v>18</v>
      </c>
      <c r="AD23" s="9"/>
      <c r="AF23" s="2"/>
      <c r="AG23" s="9"/>
      <c r="AI23" s="2" t="s">
        <v>18</v>
      </c>
      <c r="AJ23" s="9"/>
    </row>
    <row r="24" spans="2:36" ht="30" customHeight="1" x14ac:dyDescent="0.25">
      <c r="B24" s="2" t="s">
        <v>6</v>
      </c>
      <c r="C24" s="27">
        <f>SUM(Lista58112613112462[Preço])</f>
        <v>0</v>
      </c>
      <c r="E24" s="2" t="s">
        <v>6</v>
      </c>
      <c r="F24" s="16">
        <f>SUM(Lista369122714122563[Preço])</f>
        <v>0</v>
      </c>
      <c r="G24" s="10"/>
      <c r="H24" s="2" t="s">
        <v>6</v>
      </c>
      <c r="I24" s="27">
        <f>SUM(Lista58112613112764[Preço])</f>
        <v>0</v>
      </c>
      <c r="K24" s="2" t="s">
        <v>6</v>
      </c>
      <c r="L24" s="16">
        <f>SUM(Lista369122714122877[Preço])</f>
        <v>0</v>
      </c>
      <c r="N24" s="2" t="s">
        <v>6</v>
      </c>
      <c r="O24" s="27">
        <f>SUM(Lista58112613112978[Preço])</f>
        <v>0</v>
      </c>
      <c r="Q24" s="2" t="s">
        <v>6</v>
      </c>
      <c r="R24" s="16">
        <f>SUM(Lista369122714123079[Preço])</f>
        <v>0</v>
      </c>
      <c r="T24" s="2" t="s">
        <v>6</v>
      </c>
      <c r="U24" s="27">
        <f>SUM(Lista58112613113180[Preço])</f>
        <v>0</v>
      </c>
      <c r="W24" s="2" t="s">
        <v>6</v>
      </c>
      <c r="X24" s="16">
        <f>SUM(Lista369122714123281[Preço])</f>
        <v>0</v>
      </c>
      <c r="Z24" s="2" t="s">
        <v>6</v>
      </c>
      <c r="AA24" s="27">
        <f>SUM(Lista58112613113382[Preço])</f>
        <v>0</v>
      </c>
      <c r="AC24" s="2" t="s">
        <v>6</v>
      </c>
      <c r="AD24" s="16">
        <f>SUM(Lista369122714123483[Preço])</f>
        <v>0</v>
      </c>
      <c r="AF24" s="2" t="s">
        <v>6</v>
      </c>
      <c r="AG24" s="27">
        <f>SUM(Lista58112613113584[Preço])</f>
        <v>0</v>
      </c>
      <c r="AI24" s="2" t="s">
        <v>6</v>
      </c>
      <c r="AJ24" s="16">
        <f>SUM(Lista369122714123685[Preço])</f>
        <v>0</v>
      </c>
    </row>
    <row r="25" spans="2:36" ht="30" customHeight="1" x14ac:dyDescent="0.25">
      <c r="B25" s="2" t="s">
        <v>125</v>
      </c>
      <c r="C25" s="10">
        <f>$V$3-SUM(E27)</f>
        <v>500</v>
      </c>
      <c r="F25" s="2"/>
      <c r="H25" s="2" t="s">
        <v>125</v>
      </c>
      <c r="I25" s="10">
        <f>$V$3-SUM(L27)</f>
        <v>500</v>
      </c>
      <c r="L25" s="2"/>
      <c r="N25" s="2" t="s">
        <v>125</v>
      </c>
      <c r="O25" s="10">
        <f>$V$3-SUM(R27)</f>
        <v>500</v>
      </c>
      <c r="R25" s="2"/>
      <c r="T25" s="2" t="s">
        <v>125</v>
      </c>
      <c r="U25" s="10">
        <f>$V$3-SUM(X27)</f>
        <v>500</v>
      </c>
      <c r="X25" s="2"/>
      <c r="Z25" s="2" t="s">
        <v>125</v>
      </c>
      <c r="AA25" s="10">
        <f>$V$3-SUM(AD27)</f>
        <v>500</v>
      </c>
      <c r="AD25" s="2"/>
      <c r="AF25" s="2" t="s">
        <v>125</v>
      </c>
      <c r="AG25" s="10">
        <f>$V$3-SUM(AJ28)</f>
        <v>500</v>
      </c>
      <c r="AJ25" s="2"/>
    </row>
  </sheetData>
  <printOptions horizontalCentered="1"/>
  <pageMargins left="0.7" right="0.7" top="0.75" bottom="0.75" header="0.3" footer="0.3"/>
  <pageSetup paperSize="9" fitToHeight="0" orientation="portrait" horizontalDpi="4294967293"/>
  <headerFooter differentFirst="1">
    <oddFooter>Page &amp;P of &amp;N</oddFooter>
  </headerFooter>
  <tableParts count="2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35F07-E0F9-4791-90EA-A269627B4202}">
  <sheetPr>
    <tabColor theme="4"/>
    <pageSetUpPr fitToPage="1"/>
  </sheetPr>
  <dimension ref="B1:AJ25"/>
  <sheetViews>
    <sheetView showGridLines="0" topLeftCell="Z7" workbookViewId="0">
      <selection activeCell="AJ13" sqref="AJ13"/>
    </sheetView>
  </sheetViews>
  <sheetFormatPr defaultColWidth="8.85546875" defaultRowHeight="30" customHeight="1" x14ac:dyDescent="0.25"/>
  <cols>
    <col min="1" max="1" width="2.7109375" customWidth="1"/>
    <col min="2" max="2" width="15.5703125" style="2" customWidth="1"/>
    <col min="3" max="3" width="10.28515625" style="5" customWidth="1"/>
    <col min="4" max="4" width="8.5703125" customWidth="1"/>
    <col min="5" max="5" width="15.5703125" customWidth="1"/>
    <col min="6" max="6" width="10.28515625" customWidth="1"/>
    <col min="7" max="7" width="9.7109375" customWidth="1"/>
    <col min="8" max="8" width="15.5703125" customWidth="1"/>
    <col min="9" max="9" width="10.28515625" customWidth="1"/>
    <col min="10" max="10" width="8.5703125" customWidth="1"/>
    <col min="11" max="11" width="15.5703125" customWidth="1"/>
    <col min="12" max="12" width="10.28515625" customWidth="1"/>
    <col min="13" max="13" width="9.7109375" customWidth="1"/>
    <col min="14" max="14" width="15.5703125" customWidth="1"/>
    <col min="15" max="15" width="10.28515625" customWidth="1"/>
    <col min="16" max="16" width="8.5703125" customWidth="1"/>
    <col min="17" max="17" width="15.5703125" customWidth="1"/>
    <col min="18" max="18" width="10.28515625" customWidth="1"/>
    <col min="19" max="19" width="9.7109375" customWidth="1"/>
    <col min="20" max="20" width="15.5703125" customWidth="1"/>
    <col min="21" max="21" width="10.28515625" customWidth="1"/>
    <col min="22" max="22" width="8.5703125" customWidth="1"/>
    <col min="23" max="23" width="15.5703125" customWidth="1"/>
    <col min="24" max="24" width="10.28515625" customWidth="1"/>
    <col min="25" max="25" width="9.7109375" customWidth="1"/>
    <col min="26" max="26" width="15.5703125" customWidth="1"/>
    <col min="27" max="27" width="10.28515625" customWidth="1"/>
    <col min="28" max="28" width="8.5703125" customWidth="1"/>
    <col min="29" max="29" width="15.5703125" customWidth="1"/>
    <col min="30" max="30" width="10.28515625" customWidth="1"/>
    <col min="31" max="31" width="9.7109375" customWidth="1"/>
    <col min="32" max="32" width="15.5703125" customWidth="1"/>
    <col min="33" max="33" width="10.28515625" customWidth="1"/>
    <col min="34" max="34" width="8.5703125" customWidth="1"/>
    <col min="35" max="35" width="15.5703125" customWidth="1"/>
    <col min="36" max="36" width="10.28515625" customWidth="1"/>
  </cols>
  <sheetData>
    <row r="1" spans="2:36" ht="34.5" customHeight="1" x14ac:dyDescent="0.25">
      <c r="B1" s="3" t="s">
        <v>7</v>
      </c>
      <c r="H1" s="3" t="s">
        <v>8</v>
      </c>
      <c r="I1" s="5"/>
      <c r="N1" s="3" t="s">
        <v>9</v>
      </c>
      <c r="O1" s="5"/>
      <c r="T1" s="3" t="s">
        <v>15</v>
      </c>
      <c r="U1" s="5"/>
      <c r="Z1" s="3" t="s">
        <v>16</v>
      </c>
      <c r="AA1" s="5"/>
      <c r="AF1" s="3" t="s">
        <v>17</v>
      </c>
      <c r="AG1" s="5"/>
    </row>
    <row r="2" spans="2:36" ht="30" customHeight="1" thickBot="1" x14ac:dyDescent="0.35">
      <c r="B2" s="4" t="s">
        <v>187</v>
      </c>
      <c r="D2" s="1"/>
      <c r="E2" s="4" t="s">
        <v>188</v>
      </c>
      <c r="F2" s="5"/>
      <c r="H2" s="4" t="s">
        <v>187</v>
      </c>
      <c r="I2" s="5"/>
      <c r="J2" s="1"/>
      <c r="K2" s="4" t="s">
        <v>188</v>
      </c>
      <c r="L2" s="5"/>
      <c r="N2" s="4" t="s">
        <v>187</v>
      </c>
      <c r="O2" s="5"/>
      <c r="P2" s="1"/>
      <c r="Q2" s="4" t="s">
        <v>188</v>
      </c>
      <c r="R2" s="5"/>
      <c r="T2" s="4" t="s">
        <v>187</v>
      </c>
      <c r="U2" s="5"/>
      <c r="V2" s="1"/>
      <c r="W2" s="4" t="s">
        <v>188</v>
      </c>
      <c r="X2" s="5"/>
      <c r="Z2" s="4" t="s">
        <v>187</v>
      </c>
      <c r="AA2" s="5"/>
      <c r="AB2" s="1"/>
      <c r="AC2" s="4" t="s">
        <v>188</v>
      </c>
      <c r="AD2" s="5"/>
      <c r="AF2" s="4" t="s">
        <v>187</v>
      </c>
      <c r="AG2" s="5"/>
      <c r="AH2" s="1"/>
      <c r="AI2" s="4" t="s">
        <v>188</v>
      </c>
      <c r="AJ2" s="5"/>
    </row>
    <row r="3" spans="2:36" ht="30" customHeight="1" thickBot="1" x14ac:dyDescent="0.3">
      <c r="B3" s="11" t="s">
        <v>189</v>
      </c>
      <c r="C3" s="13" t="s">
        <v>88</v>
      </c>
      <c r="D3" s="14">
        <v>500</v>
      </c>
      <c r="E3" s="11" t="s">
        <v>190</v>
      </c>
      <c r="F3" s="2" t="s">
        <v>191</v>
      </c>
      <c r="H3" s="11" t="s">
        <v>189</v>
      </c>
      <c r="I3" s="13" t="s">
        <v>88</v>
      </c>
      <c r="J3" s="14">
        <v>500</v>
      </c>
      <c r="K3" s="11" t="s">
        <v>190</v>
      </c>
      <c r="L3" s="2"/>
      <c r="N3" s="11" t="s">
        <v>189</v>
      </c>
      <c r="O3" s="13" t="s">
        <v>88</v>
      </c>
      <c r="P3" s="14">
        <v>500</v>
      </c>
      <c r="Q3" s="11" t="s">
        <v>190</v>
      </c>
      <c r="R3" s="2"/>
      <c r="T3" s="11" t="s">
        <v>189</v>
      </c>
      <c r="U3" s="13" t="s">
        <v>88</v>
      </c>
      <c r="V3" s="14">
        <v>500</v>
      </c>
      <c r="W3" s="11" t="s">
        <v>190</v>
      </c>
      <c r="X3" s="2"/>
      <c r="Z3" s="11" t="s">
        <v>189</v>
      </c>
      <c r="AA3" s="13" t="s">
        <v>88</v>
      </c>
      <c r="AB3" s="14">
        <v>500</v>
      </c>
      <c r="AC3" s="11" t="s">
        <v>190</v>
      </c>
      <c r="AD3" s="2"/>
      <c r="AF3" s="11" t="s">
        <v>189</v>
      </c>
      <c r="AG3" s="13" t="s">
        <v>88</v>
      </c>
      <c r="AH3" s="14">
        <v>500</v>
      </c>
      <c r="AI3" s="11" t="s">
        <v>190</v>
      </c>
      <c r="AJ3" s="2"/>
    </row>
    <row r="4" spans="2:36" ht="30" customHeight="1" x14ac:dyDescent="0.25">
      <c r="B4" s="6" t="s">
        <v>22</v>
      </c>
      <c r="C4" s="7" t="s">
        <v>23</v>
      </c>
      <c r="E4" s="6" t="s">
        <v>22</v>
      </c>
      <c r="F4" s="7" t="s">
        <v>23</v>
      </c>
      <c r="H4" s="6" t="s">
        <v>22</v>
      </c>
      <c r="I4" s="7" t="s">
        <v>23</v>
      </c>
      <c r="K4" s="6" t="s">
        <v>22</v>
      </c>
      <c r="L4" s="7" t="s">
        <v>23</v>
      </c>
      <c r="N4" s="6" t="s">
        <v>22</v>
      </c>
      <c r="O4" s="7" t="s">
        <v>23</v>
      </c>
      <c r="Q4" s="6" t="s">
        <v>22</v>
      </c>
      <c r="R4" s="7" t="s">
        <v>23</v>
      </c>
      <c r="T4" s="6" t="s">
        <v>22</v>
      </c>
      <c r="U4" s="7" t="s">
        <v>23</v>
      </c>
      <c r="W4" s="6" t="s">
        <v>22</v>
      </c>
      <c r="X4" s="7" t="s">
        <v>23</v>
      </c>
      <c r="Z4" s="6" t="s">
        <v>22</v>
      </c>
      <c r="AA4" s="7" t="s">
        <v>23</v>
      </c>
      <c r="AC4" s="6" t="s">
        <v>22</v>
      </c>
      <c r="AD4" s="7" t="s">
        <v>23</v>
      </c>
      <c r="AF4" s="6" t="s">
        <v>22</v>
      </c>
      <c r="AG4" s="7" t="s">
        <v>23</v>
      </c>
      <c r="AI4" s="6" t="s">
        <v>22</v>
      </c>
      <c r="AJ4" s="7" t="s">
        <v>23</v>
      </c>
    </row>
    <row r="5" spans="2:36" ht="42.75" customHeight="1" x14ac:dyDescent="0.25">
      <c r="B5" s="2" t="s">
        <v>99</v>
      </c>
      <c r="C5" s="8">
        <v>454.69</v>
      </c>
      <c r="E5" s="2" t="s">
        <v>99</v>
      </c>
      <c r="F5" s="8">
        <v>32</v>
      </c>
      <c r="H5" s="2" t="s">
        <v>99</v>
      </c>
      <c r="I5" s="8">
        <v>464.69</v>
      </c>
      <c r="K5" s="2" t="s">
        <v>99</v>
      </c>
      <c r="L5" s="8">
        <v>105.72</v>
      </c>
      <c r="N5" s="2" t="s">
        <v>99</v>
      </c>
      <c r="O5" s="8">
        <v>313.08999999999997</v>
      </c>
      <c r="Q5" s="2" t="s">
        <v>99</v>
      </c>
      <c r="R5" s="8">
        <v>392</v>
      </c>
      <c r="T5" s="2" t="s">
        <v>99</v>
      </c>
      <c r="U5" s="8">
        <v>495.36</v>
      </c>
      <c r="W5" s="2" t="s">
        <v>99</v>
      </c>
      <c r="X5" s="8">
        <v>586.05999999999995</v>
      </c>
      <c r="Z5" s="2" t="s">
        <v>99</v>
      </c>
      <c r="AA5" s="8">
        <v>607.72</v>
      </c>
      <c r="AC5" s="2" t="s">
        <v>99</v>
      </c>
      <c r="AD5" s="8">
        <v>29.17</v>
      </c>
      <c r="AF5" s="2" t="s">
        <v>99</v>
      </c>
      <c r="AG5" s="8">
        <v>34.5</v>
      </c>
      <c r="AI5" s="2" t="s">
        <v>99</v>
      </c>
      <c r="AJ5" s="8"/>
    </row>
    <row r="6" spans="2:36" ht="30" customHeight="1" x14ac:dyDescent="0.25">
      <c r="C6" s="8"/>
      <c r="E6" s="2"/>
      <c r="F6" s="8"/>
      <c r="H6" s="2"/>
      <c r="I6" s="8"/>
      <c r="K6" s="2"/>
      <c r="L6" s="8"/>
      <c r="N6" s="2"/>
      <c r="O6" s="8"/>
      <c r="Q6" s="2"/>
      <c r="R6" s="8"/>
      <c r="T6" s="2"/>
      <c r="U6" s="8"/>
      <c r="W6" s="2"/>
      <c r="X6" s="8"/>
      <c r="Z6" s="2"/>
      <c r="AA6" s="8"/>
      <c r="AC6" s="2"/>
      <c r="AD6" s="8"/>
      <c r="AF6" s="2"/>
      <c r="AG6" s="8"/>
      <c r="AI6" s="2"/>
      <c r="AJ6" s="8"/>
    </row>
    <row r="7" spans="2:36" ht="30" customHeight="1" x14ac:dyDescent="0.25">
      <c r="C7" s="8"/>
      <c r="E7" s="2"/>
      <c r="F7" s="8"/>
      <c r="H7" s="2"/>
      <c r="I7" s="8"/>
      <c r="K7" s="2"/>
      <c r="L7" s="8"/>
      <c r="N7" s="2"/>
      <c r="O7" s="8"/>
      <c r="Q7" s="2"/>
      <c r="R7" s="8"/>
      <c r="T7" s="2"/>
      <c r="U7" s="8"/>
      <c r="W7" s="2"/>
      <c r="X7" s="8"/>
      <c r="Z7" s="2"/>
      <c r="AA7" s="8"/>
      <c r="AC7" s="2"/>
      <c r="AD7" s="8"/>
      <c r="AF7" s="2"/>
      <c r="AG7" s="8"/>
      <c r="AI7" s="2"/>
      <c r="AJ7" s="8"/>
    </row>
    <row r="8" spans="2:36" ht="30" customHeight="1" x14ac:dyDescent="0.25">
      <c r="C8" s="9"/>
      <c r="E8" s="2"/>
      <c r="F8" s="9"/>
      <c r="H8" s="2"/>
      <c r="I8" s="9"/>
      <c r="K8" s="2"/>
      <c r="L8" s="9"/>
      <c r="N8" s="2"/>
      <c r="O8" s="9"/>
      <c r="Q8" s="2"/>
      <c r="R8" s="9"/>
      <c r="T8" s="2"/>
      <c r="U8" s="9"/>
      <c r="W8" s="2"/>
      <c r="X8" s="9"/>
      <c r="Z8" s="2"/>
      <c r="AA8" s="9"/>
      <c r="AC8" s="2"/>
      <c r="AD8" s="9"/>
      <c r="AF8" s="2"/>
      <c r="AG8" s="9"/>
      <c r="AI8" s="2"/>
      <c r="AJ8" s="9"/>
    </row>
    <row r="9" spans="2:36" ht="30" customHeight="1" x14ac:dyDescent="0.25">
      <c r="C9" s="9"/>
      <c r="E9" s="2" t="s">
        <v>18</v>
      </c>
      <c r="F9" s="9"/>
      <c r="H9" s="2"/>
      <c r="I9" s="9"/>
      <c r="K9" s="2" t="s">
        <v>18</v>
      </c>
      <c r="L9" s="9"/>
      <c r="N9" s="2"/>
      <c r="O9" s="9"/>
      <c r="Q9" s="2" t="s">
        <v>18</v>
      </c>
      <c r="R9" s="9"/>
      <c r="T9" s="2"/>
      <c r="U9" s="9"/>
      <c r="W9" s="2" t="s">
        <v>18</v>
      </c>
      <c r="X9" s="9"/>
      <c r="Z9" s="2"/>
      <c r="AA9" s="9"/>
      <c r="AC9" s="2" t="s">
        <v>18</v>
      </c>
      <c r="AD9" s="9"/>
      <c r="AF9" s="2"/>
      <c r="AG9" s="9"/>
      <c r="AI9" s="2" t="s">
        <v>18</v>
      </c>
      <c r="AJ9" s="9"/>
    </row>
    <row r="10" spans="2:36" ht="30" customHeight="1" x14ac:dyDescent="0.25">
      <c r="C10" s="9"/>
      <c r="E10" s="2" t="s">
        <v>18</v>
      </c>
      <c r="F10" s="9"/>
      <c r="H10" s="2"/>
      <c r="I10" s="9"/>
      <c r="K10" s="2" t="s">
        <v>18</v>
      </c>
      <c r="L10" s="9"/>
      <c r="N10" s="2"/>
      <c r="O10" s="9"/>
      <c r="Q10" s="2" t="s">
        <v>18</v>
      </c>
      <c r="R10" s="9"/>
      <c r="T10" s="2"/>
      <c r="U10" s="9"/>
      <c r="W10" s="2" t="s">
        <v>18</v>
      </c>
      <c r="X10" s="9"/>
      <c r="Z10" s="2"/>
      <c r="AA10" s="9"/>
      <c r="AC10" s="2" t="s">
        <v>18</v>
      </c>
      <c r="AD10" s="9"/>
      <c r="AF10" s="2"/>
      <c r="AG10" s="9"/>
      <c r="AI10" s="2" t="s">
        <v>18</v>
      </c>
      <c r="AJ10" s="9"/>
    </row>
    <row r="11" spans="2:36" ht="30" customHeight="1" x14ac:dyDescent="0.25">
      <c r="B11" s="2" t="s">
        <v>6</v>
      </c>
      <c r="C11" s="9">
        <f>SUM(Lista58112613[Preço])</f>
        <v>454.69</v>
      </c>
      <c r="E11" s="2" t="s">
        <v>6</v>
      </c>
      <c r="F11" s="27">
        <f>SUM(Lista369122714[Preço])</f>
        <v>32</v>
      </c>
      <c r="H11" s="2" t="s">
        <v>6</v>
      </c>
      <c r="I11" s="9">
        <f>SUM(Lista5811261311[Preço])</f>
        <v>464.69</v>
      </c>
      <c r="K11" s="2" t="s">
        <v>6</v>
      </c>
      <c r="L11" s="16">
        <f>SUM(Lista36912271412[Preço])</f>
        <v>105.72</v>
      </c>
      <c r="N11" s="2" t="s">
        <v>6</v>
      </c>
      <c r="O11" s="27">
        <f>SUM(Lista581126131115[Preço])</f>
        <v>313.08999999999997</v>
      </c>
      <c r="Q11" s="2" t="s">
        <v>6</v>
      </c>
      <c r="R11" s="16">
        <f>SUM(Lista3691227141216[Preço])</f>
        <v>392</v>
      </c>
      <c r="T11" s="2" t="s">
        <v>6</v>
      </c>
      <c r="U11" s="27">
        <f>SUM(Lista581126131117[Preço])</f>
        <v>495.36</v>
      </c>
      <c r="W11" s="2" t="s">
        <v>6</v>
      </c>
      <c r="X11" s="16">
        <f>SUM(Lista3691227141219[Preço])</f>
        <v>586.05999999999995</v>
      </c>
      <c r="Z11" s="2" t="s">
        <v>6</v>
      </c>
      <c r="AA11" s="27">
        <f>SUM(Lista581126131120[Preço])</f>
        <v>607.72</v>
      </c>
      <c r="AC11" s="2" t="s">
        <v>6</v>
      </c>
      <c r="AD11" s="16">
        <f>SUM(Lista3691227141221[Preço])</f>
        <v>29.17</v>
      </c>
      <c r="AF11" s="2" t="s">
        <v>6</v>
      </c>
      <c r="AG11" s="27">
        <f>SUM(Lista581126131122[Preço])</f>
        <v>34.5</v>
      </c>
      <c r="AI11" s="2" t="s">
        <v>6</v>
      </c>
      <c r="AJ11" s="16">
        <f>SUM(Lista3691227141223[Preço])</f>
        <v>0</v>
      </c>
    </row>
    <row r="12" spans="2:36" ht="30" customHeight="1" x14ac:dyDescent="0.25">
      <c r="B12" s="2" t="s">
        <v>29</v>
      </c>
      <c r="C12" s="10">
        <f>$V$3-SUM(E14)-Lista58112613[[#Totals],[Preço]]</f>
        <v>45.31</v>
      </c>
      <c r="F12" s="2"/>
      <c r="G12" s="10"/>
      <c r="H12" s="2" t="s">
        <v>29</v>
      </c>
      <c r="I12" s="10">
        <f>$V$3-SUM(K14)-Lista5811261311[[#Totals],[Preço]]</f>
        <v>35.31</v>
      </c>
      <c r="K12" t="s">
        <v>194</v>
      </c>
      <c r="L12" s="22">
        <f>Lista36912271412[[#Totals],[Preço]]+Lista5811261311[[#Totals],[Preço]]</f>
        <v>570.41</v>
      </c>
      <c r="N12" s="2" t="s">
        <v>29</v>
      </c>
      <c r="O12" s="10">
        <f>$V$3-SUM(Q14)-Lista581126131115[[#Totals],[Preço]]</f>
        <v>186.91000000000003</v>
      </c>
      <c r="Q12" t="s">
        <v>194</v>
      </c>
      <c r="R12" s="22">
        <f>Lista3691227141216[[#Totals],[Preço]]+Lista581126131115[[#Totals],[Preço]]</f>
        <v>705.08999999999992</v>
      </c>
      <c r="T12" s="2" t="s">
        <v>29</v>
      </c>
      <c r="U12" s="10">
        <f>$V$3-SUM(W14)-Lista581126131117[[#Totals],[Preço]]</f>
        <v>4.6399999999999864</v>
      </c>
      <c r="W12" t="s">
        <v>194</v>
      </c>
      <c r="X12" s="22">
        <f>Lista3691227141219[[#Totals],[Preço]]+U11</f>
        <v>1081.42</v>
      </c>
      <c r="Z12" s="2" t="s">
        <v>29</v>
      </c>
      <c r="AA12" s="10">
        <f>$V$3-SUM(AC14)-Lista581126131120[[#Totals],[Preço]]</f>
        <v>-107.72000000000003</v>
      </c>
      <c r="AC12" t="s">
        <v>194</v>
      </c>
      <c r="AD12" s="22">
        <f>Lista3691227141221[[#Totals],[Preço]]+Lista581126131120[[#Totals],[Preço]]</f>
        <v>636.89</v>
      </c>
      <c r="AF12" s="2" t="s">
        <v>125</v>
      </c>
      <c r="AG12" s="10">
        <f>$AH$3-Lista581126131122[[#Totals],[Preço]]</f>
        <v>465.5</v>
      </c>
      <c r="AI12" t="s">
        <v>194</v>
      </c>
      <c r="AJ12" s="22">
        <f>Lista581126131122[[#Totals],[Preço]]+Lista3691227141223[[#Totals],[Preço]]</f>
        <v>34.5</v>
      </c>
    </row>
    <row r="13" spans="2:36" ht="30" customHeight="1" x14ac:dyDescent="0.25">
      <c r="J13" s="2"/>
      <c r="K13" s="10"/>
      <c r="R13" s="2"/>
      <c r="S13" s="10"/>
    </row>
    <row r="14" spans="2:36" ht="30" customHeight="1" x14ac:dyDescent="0.25">
      <c r="B14" s="3" t="s">
        <v>30</v>
      </c>
      <c r="H14" s="3" t="s">
        <v>10</v>
      </c>
      <c r="I14" s="5"/>
      <c r="N14" s="3" t="s">
        <v>11</v>
      </c>
      <c r="O14" s="5"/>
      <c r="T14" s="3" t="s">
        <v>12</v>
      </c>
      <c r="U14" s="5"/>
      <c r="Z14" s="3" t="s">
        <v>13</v>
      </c>
      <c r="AA14" s="5"/>
      <c r="AF14" s="3" t="s">
        <v>14</v>
      </c>
      <c r="AG14" s="5"/>
    </row>
    <row r="15" spans="2:36" ht="30" customHeight="1" thickBot="1" x14ac:dyDescent="0.35">
      <c r="B15" s="4" t="s">
        <v>187</v>
      </c>
      <c r="D15" s="1"/>
      <c r="E15" s="4" t="s">
        <v>188</v>
      </c>
      <c r="F15" s="5"/>
      <c r="H15" s="4" t="s">
        <v>187</v>
      </c>
      <c r="I15" s="5"/>
      <c r="J15" s="1"/>
      <c r="K15" s="4" t="s">
        <v>188</v>
      </c>
      <c r="L15" s="5"/>
      <c r="N15" s="4" t="s">
        <v>187</v>
      </c>
      <c r="O15" s="5"/>
      <c r="P15" s="1"/>
      <c r="Q15" s="4" t="s">
        <v>188</v>
      </c>
      <c r="R15" s="5"/>
      <c r="T15" s="4" t="s">
        <v>187</v>
      </c>
      <c r="U15" s="5"/>
      <c r="V15" s="1"/>
      <c r="W15" s="4" t="s">
        <v>188</v>
      </c>
      <c r="X15" s="5"/>
      <c r="Z15" s="4" t="s">
        <v>187</v>
      </c>
      <c r="AA15" s="5"/>
      <c r="AB15" s="1"/>
      <c r="AC15" s="4" t="s">
        <v>188</v>
      </c>
      <c r="AD15" s="5"/>
      <c r="AF15" s="4" t="s">
        <v>187</v>
      </c>
      <c r="AG15" s="5"/>
      <c r="AH15" s="1"/>
      <c r="AI15" s="4" t="s">
        <v>188</v>
      </c>
      <c r="AJ15" s="5"/>
    </row>
    <row r="16" spans="2:36" ht="30" customHeight="1" thickBot="1" x14ac:dyDescent="0.3">
      <c r="B16" s="11" t="s">
        <v>189</v>
      </c>
      <c r="C16" s="13" t="s">
        <v>88</v>
      </c>
      <c r="D16" s="14">
        <v>500</v>
      </c>
      <c r="E16" s="11" t="s">
        <v>190</v>
      </c>
      <c r="F16" s="2"/>
      <c r="G16" s="5"/>
      <c r="H16" s="11" t="s">
        <v>189</v>
      </c>
      <c r="I16" s="13" t="s">
        <v>88</v>
      </c>
      <c r="J16" s="14">
        <v>500</v>
      </c>
      <c r="K16" s="11" t="s">
        <v>190</v>
      </c>
      <c r="L16" s="2"/>
      <c r="N16" s="11" t="s">
        <v>189</v>
      </c>
      <c r="O16" s="13" t="s">
        <v>88</v>
      </c>
      <c r="P16" s="14">
        <v>500</v>
      </c>
      <c r="Q16" s="11" t="s">
        <v>190</v>
      </c>
      <c r="R16" s="2"/>
      <c r="T16" s="11" t="s">
        <v>189</v>
      </c>
      <c r="U16" s="13" t="s">
        <v>88</v>
      </c>
      <c r="V16" s="14">
        <v>500</v>
      </c>
      <c r="W16" s="11" t="s">
        <v>190</v>
      </c>
      <c r="X16" s="2"/>
      <c r="Z16" s="11" t="s">
        <v>189</v>
      </c>
      <c r="AA16" s="13" t="s">
        <v>88</v>
      </c>
      <c r="AB16" s="14">
        <v>500</v>
      </c>
      <c r="AC16" s="11" t="s">
        <v>190</v>
      </c>
      <c r="AD16" s="2"/>
      <c r="AF16" s="11" t="s">
        <v>189</v>
      </c>
      <c r="AG16" s="13" t="s">
        <v>88</v>
      </c>
      <c r="AH16" s="14">
        <v>500</v>
      </c>
      <c r="AI16" s="11" t="s">
        <v>190</v>
      </c>
      <c r="AJ16" s="2"/>
    </row>
    <row r="17" spans="2:36" ht="30" customHeight="1" x14ac:dyDescent="0.25">
      <c r="B17" s="6" t="s">
        <v>22</v>
      </c>
      <c r="C17" s="7" t="s">
        <v>23</v>
      </c>
      <c r="E17" s="6" t="s">
        <v>22</v>
      </c>
      <c r="F17" s="7" t="s">
        <v>23</v>
      </c>
      <c r="G17" s="8"/>
      <c r="H17" s="6" t="s">
        <v>22</v>
      </c>
      <c r="I17" s="7" t="s">
        <v>23</v>
      </c>
      <c r="K17" s="6" t="s">
        <v>22</v>
      </c>
      <c r="L17" s="7" t="s">
        <v>23</v>
      </c>
      <c r="N17" s="6" t="s">
        <v>22</v>
      </c>
      <c r="O17" s="7" t="s">
        <v>23</v>
      </c>
      <c r="Q17" s="6" t="s">
        <v>22</v>
      </c>
      <c r="R17" s="7" t="s">
        <v>23</v>
      </c>
      <c r="T17" s="6" t="s">
        <v>22</v>
      </c>
      <c r="U17" s="7" t="s">
        <v>23</v>
      </c>
      <c r="W17" s="6" t="s">
        <v>22</v>
      </c>
      <c r="X17" s="7" t="s">
        <v>23</v>
      </c>
      <c r="Z17" s="6" t="s">
        <v>22</v>
      </c>
      <c r="AA17" s="7" t="s">
        <v>23</v>
      </c>
      <c r="AC17" s="6" t="s">
        <v>22</v>
      </c>
      <c r="AD17" s="7" t="s">
        <v>23</v>
      </c>
      <c r="AF17" s="6" t="s">
        <v>22</v>
      </c>
      <c r="AG17" s="7" t="s">
        <v>23</v>
      </c>
      <c r="AI17" s="6" t="s">
        <v>22</v>
      </c>
      <c r="AJ17" s="7" t="s">
        <v>23</v>
      </c>
    </row>
    <row r="18" spans="2:36" ht="30" customHeight="1" x14ac:dyDescent="0.25">
      <c r="B18" s="2" t="s">
        <v>99</v>
      </c>
      <c r="C18" s="8"/>
      <c r="E18" s="2" t="s">
        <v>99</v>
      </c>
      <c r="F18" s="8"/>
      <c r="G18" s="8"/>
      <c r="H18" s="2" t="s">
        <v>99</v>
      </c>
      <c r="I18" s="8"/>
      <c r="K18" s="2" t="s">
        <v>99</v>
      </c>
      <c r="L18" s="8"/>
      <c r="N18" s="2" t="s">
        <v>99</v>
      </c>
      <c r="O18" s="8"/>
      <c r="Q18" s="2" t="s">
        <v>99</v>
      </c>
      <c r="R18" s="8"/>
      <c r="T18" s="2" t="s">
        <v>99</v>
      </c>
      <c r="U18" s="8"/>
      <c r="W18" s="2" t="s">
        <v>99</v>
      </c>
      <c r="X18" s="8"/>
      <c r="Z18" s="2" t="s">
        <v>99</v>
      </c>
      <c r="AA18" s="8"/>
      <c r="AC18" s="2" t="s">
        <v>99</v>
      </c>
      <c r="AD18" s="8"/>
      <c r="AF18" s="2" t="s">
        <v>99</v>
      </c>
      <c r="AG18" s="8"/>
      <c r="AI18" s="2" t="s">
        <v>99</v>
      </c>
      <c r="AJ18" s="8"/>
    </row>
    <row r="19" spans="2:36" ht="30" customHeight="1" x14ac:dyDescent="0.25">
      <c r="C19" s="8"/>
      <c r="E19" s="2"/>
      <c r="F19" s="8"/>
      <c r="G19" s="8"/>
      <c r="H19" s="2"/>
      <c r="I19" s="8"/>
      <c r="K19" s="2"/>
      <c r="L19" s="8"/>
      <c r="N19" s="2"/>
      <c r="O19" s="8"/>
      <c r="Q19" s="2"/>
      <c r="R19" s="8"/>
      <c r="T19" s="2"/>
      <c r="U19" s="8"/>
      <c r="W19" s="2"/>
      <c r="X19" s="8"/>
      <c r="Z19" s="2"/>
      <c r="AA19" s="8"/>
      <c r="AC19" s="2"/>
      <c r="AD19" s="8"/>
      <c r="AF19" s="2"/>
      <c r="AG19" s="8"/>
      <c r="AI19" s="2"/>
      <c r="AJ19" s="8"/>
    </row>
    <row r="20" spans="2:36" ht="30" customHeight="1" x14ac:dyDescent="0.25">
      <c r="C20" s="8"/>
      <c r="E20" s="2"/>
      <c r="F20" s="8"/>
      <c r="G20" s="9"/>
      <c r="H20" s="2"/>
      <c r="I20" s="8"/>
      <c r="K20" s="2"/>
      <c r="L20" s="8"/>
      <c r="N20" s="2"/>
      <c r="O20" s="8"/>
      <c r="Q20" s="2"/>
      <c r="R20" s="8"/>
      <c r="T20" s="2"/>
      <c r="U20" s="8"/>
      <c r="W20" s="2"/>
      <c r="X20" s="8"/>
      <c r="Z20" s="2"/>
      <c r="AA20" s="8"/>
      <c r="AC20" s="2"/>
      <c r="AD20" s="8"/>
      <c r="AF20" s="2"/>
      <c r="AG20" s="8"/>
      <c r="AI20" s="2"/>
      <c r="AJ20" s="8"/>
    </row>
    <row r="21" spans="2:36" ht="30" customHeight="1" x14ac:dyDescent="0.25">
      <c r="C21" s="9"/>
      <c r="E21" s="2"/>
      <c r="F21" s="9"/>
      <c r="G21" s="9"/>
      <c r="H21" s="2"/>
      <c r="I21" s="9"/>
      <c r="K21" s="2"/>
      <c r="L21" s="9"/>
      <c r="N21" s="2"/>
      <c r="O21" s="9"/>
      <c r="Q21" s="2"/>
      <c r="R21" s="9"/>
      <c r="T21" s="2"/>
      <c r="U21" s="9"/>
      <c r="W21" s="2"/>
      <c r="X21" s="9"/>
      <c r="Z21" s="2"/>
      <c r="AA21" s="9"/>
      <c r="AC21" s="2"/>
      <c r="AD21" s="9"/>
      <c r="AF21" s="2"/>
      <c r="AG21" s="9"/>
      <c r="AI21" s="2"/>
      <c r="AJ21" s="9"/>
    </row>
    <row r="22" spans="2:36" ht="30" customHeight="1" x14ac:dyDescent="0.25">
      <c r="C22" s="9"/>
      <c r="E22" s="2" t="s">
        <v>18</v>
      </c>
      <c r="F22" s="9"/>
      <c r="G22" s="9"/>
      <c r="H22" s="2"/>
      <c r="I22" s="9"/>
      <c r="K22" s="2" t="s">
        <v>18</v>
      </c>
      <c r="L22" s="9"/>
      <c r="N22" s="2"/>
      <c r="O22" s="9"/>
      <c r="Q22" s="2" t="s">
        <v>18</v>
      </c>
      <c r="R22" s="9"/>
      <c r="T22" s="2"/>
      <c r="U22" s="9"/>
      <c r="W22" s="2" t="s">
        <v>18</v>
      </c>
      <c r="X22" s="9"/>
      <c r="Z22" s="2"/>
      <c r="AA22" s="9"/>
      <c r="AC22" s="2" t="s">
        <v>18</v>
      </c>
      <c r="AD22" s="9"/>
      <c r="AF22" s="2"/>
      <c r="AG22" s="9"/>
      <c r="AI22" s="2" t="s">
        <v>18</v>
      </c>
      <c r="AJ22" s="9"/>
    </row>
    <row r="23" spans="2:36" ht="30" customHeight="1" x14ac:dyDescent="0.25">
      <c r="C23" s="9"/>
      <c r="E23" s="2" t="s">
        <v>18</v>
      </c>
      <c r="F23" s="9"/>
      <c r="G23" s="9"/>
      <c r="H23" s="2"/>
      <c r="I23" s="9"/>
      <c r="K23" s="2" t="s">
        <v>18</v>
      </c>
      <c r="L23" s="9"/>
      <c r="N23" s="2"/>
      <c r="O23" s="9"/>
      <c r="Q23" s="2" t="s">
        <v>18</v>
      </c>
      <c r="R23" s="9"/>
      <c r="T23" s="2"/>
      <c r="U23" s="9"/>
      <c r="W23" s="2" t="s">
        <v>18</v>
      </c>
      <c r="X23" s="9"/>
      <c r="Z23" s="2"/>
      <c r="AA23" s="9"/>
      <c r="AC23" s="2" t="s">
        <v>18</v>
      </c>
      <c r="AD23" s="9"/>
      <c r="AF23" s="2"/>
      <c r="AG23" s="9"/>
      <c r="AI23" s="2" t="s">
        <v>18</v>
      </c>
      <c r="AJ23" s="9"/>
    </row>
    <row r="24" spans="2:36" ht="30" customHeight="1" x14ac:dyDescent="0.25">
      <c r="B24" s="2" t="s">
        <v>6</v>
      </c>
      <c r="C24" s="27">
        <f>SUM(Lista581126131124[Preço])</f>
        <v>0</v>
      </c>
      <c r="E24" s="2" t="s">
        <v>6</v>
      </c>
      <c r="F24" s="16">
        <f>SUM(Lista3691227141225[Preço])</f>
        <v>0</v>
      </c>
      <c r="G24" s="10"/>
      <c r="H24" s="2" t="s">
        <v>6</v>
      </c>
      <c r="I24" s="27">
        <f>SUM(Lista581126131127[Preço])</f>
        <v>0</v>
      </c>
      <c r="K24" s="2" t="s">
        <v>6</v>
      </c>
      <c r="L24" s="16">
        <f>SUM(Lista3691227141228[Preço])</f>
        <v>0</v>
      </c>
      <c r="N24" s="2" t="s">
        <v>6</v>
      </c>
      <c r="O24" s="27">
        <f>SUM(Lista581126131129[Preço])</f>
        <v>0</v>
      </c>
      <c r="Q24" s="2" t="s">
        <v>6</v>
      </c>
      <c r="R24" s="16">
        <f>SUM(Lista3691227141230[Preço])</f>
        <v>0</v>
      </c>
      <c r="T24" s="2" t="s">
        <v>6</v>
      </c>
      <c r="U24" s="27">
        <f>SUM(Lista581126131131[Preço])</f>
        <v>0</v>
      </c>
      <c r="W24" s="2" t="s">
        <v>6</v>
      </c>
      <c r="X24" s="16">
        <f>SUM(Lista3691227141232[Preço])</f>
        <v>0</v>
      </c>
      <c r="Z24" s="2" t="s">
        <v>6</v>
      </c>
      <c r="AA24" s="27">
        <f>SUM(Lista581126131133[Preço])</f>
        <v>0</v>
      </c>
      <c r="AC24" s="2" t="s">
        <v>6</v>
      </c>
      <c r="AD24" s="16">
        <f>SUM(Lista3691227141234[Preço])</f>
        <v>0</v>
      </c>
      <c r="AF24" s="2" t="s">
        <v>6</v>
      </c>
      <c r="AG24" s="27">
        <f>SUM(Lista581126131135[Preço])</f>
        <v>0</v>
      </c>
      <c r="AI24" s="2" t="s">
        <v>6</v>
      </c>
      <c r="AJ24" s="16">
        <f>SUM(Lista3691227141236[Preço])</f>
        <v>0</v>
      </c>
    </row>
    <row r="25" spans="2:36" ht="30" customHeight="1" x14ac:dyDescent="0.25">
      <c r="B25" s="2" t="s">
        <v>125</v>
      </c>
      <c r="C25" s="10">
        <f>$V$3-SUM(E27)</f>
        <v>500</v>
      </c>
      <c r="F25" s="2"/>
      <c r="H25" s="2" t="s">
        <v>125</v>
      </c>
      <c r="I25" s="10">
        <f>$V$3-SUM(L27)</f>
        <v>500</v>
      </c>
      <c r="L25" s="2"/>
      <c r="N25" s="2" t="s">
        <v>125</v>
      </c>
      <c r="O25" s="10">
        <f>$V$3-SUM(R27)</f>
        <v>500</v>
      </c>
      <c r="R25" s="2"/>
      <c r="T25" s="2" t="s">
        <v>125</v>
      </c>
      <c r="U25" s="10">
        <f>$V$3-SUM(X27)</f>
        <v>500</v>
      </c>
      <c r="X25" s="2"/>
      <c r="Z25" s="2" t="s">
        <v>125</v>
      </c>
      <c r="AA25" s="10">
        <f>$V$3-SUM(AD27)</f>
        <v>500</v>
      </c>
      <c r="AD25" s="2"/>
      <c r="AF25" s="2" t="s">
        <v>125</v>
      </c>
      <c r="AG25" s="10">
        <f>$V$3-SUM(AJ28)</f>
        <v>500</v>
      </c>
      <c r="AJ25" s="2"/>
    </row>
  </sheetData>
  <printOptions horizontalCentered="1"/>
  <pageMargins left="0.7" right="0.7" top="0.75" bottom="0.75" header="0.3" footer="0.3"/>
  <pageSetup paperSize="9" fitToHeight="0" orientation="portrait" horizontalDpi="4294967293"/>
  <headerFooter differentFirst="1">
    <oddFooter>Page &amp;P of &amp;N</oddFooter>
  </headerFooter>
  <tableParts count="2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C00000"/>
    <pageSetUpPr fitToPage="1"/>
  </sheetPr>
  <dimension ref="B1:AG25"/>
  <sheetViews>
    <sheetView showGridLines="0" topLeftCell="L3" zoomScale="55" zoomScaleNormal="55" workbookViewId="0">
      <selection activeCell="L3" sqref="L3"/>
    </sheetView>
  </sheetViews>
  <sheetFormatPr defaultColWidth="8.85546875" defaultRowHeight="30" customHeight="1" x14ac:dyDescent="0.25"/>
  <cols>
    <col min="1" max="1" width="2.7109375" customWidth="1"/>
    <col min="2" max="2" width="15.42578125" style="2" customWidth="1"/>
    <col min="3" max="3" width="15.28515625" style="5" customWidth="1"/>
    <col min="4" max="4" width="6.5703125" customWidth="1"/>
    <col min="6" max="6" width="13.42578125" customWidth="1"/>
    <col min="7" max="7" width="12.42578125" customWidth="1"/>
    <col min="9" max="9" width="12.5703125" bestFit="1" customWidth="1"/>
    <col min="10" max="10" width="11" customWidth="1"/>
    <col min="11" max="11" width="14.7109375" customWidth="1"/>
    <col min="14" max="14" width="16.7109375" customWidth="1"/>
    <col min="15" max="15" width="12.42578125" customWidth="1"/>
    <col min="18" max="18" width="13.7109375" customWidth="1"/>
    <col min="19" max="19" width="14.140625" customWidth="1"/>
    <col min="22" max="22" width="15" customWidth="1"/>
    <col min="23" max="23" width="12.5703125" customWidth="1"/>
    <col min="27" max="27" width="13" customWidth="1"/>
    <col min="28" max="28" width="11.42578125" bestFit="1" customWidth="1"/>
    <col min="31" max="32" width="13.28515625" customWidth="1"/>
  </cols>
  <sheetData>
    <row r="1" spans="2:33" ht="34.5" customHeight="1" x14ac:dyDescent="0.25">
      <c r="B1" s="3" t="s">
        <v>195</v>
      </c>
      <c r="J1" s="3" t="s">
        <v>196</v>
      </c>
      <c r="K1" s="5"/>
      <c r="R1" s="3" t="s">
        <v>197</v>
      </c>
      <c r="S1" s="5"/>
      <c r="AA1" s="3"/>
      <c r="AB1" s="5"/>
    </row>
    <row r="2" spans="2:33" s="1" customFormat="1" ht="26.25" customHeight="1" thickBot="1" x14ac:dyDescent="0.35">
      <c r="B2" s="4" t="s">
        <v>6</v>
      </c>
      <c r="C2" s="5"/>
      <c r="F2" s="4" t="s">
        <v>6</v>
      </c>
      <c r="G2" s="5"/>
      <c r="J2" s="4" t="s">
        <v>6</v>
      </c>
      <c r="K2" s="5"/>
      <c r="N2" s="4" t="s">
        <v>6</v>
      </c>
      <c r="O2" s="5"/>
      <c r="R2" s="4" t="s">
        <v>6</v>
      </c>
      <c r="S2" s="5"/>
      <c r="V2" s="4" t="s">
        <v>6</v>
      </c>
      <c r="W2" s="5"/>
      <c r="AA2" s="4"/>
      <c r="AB2" s="5"/>
      <c r="AE2" s="4"/>
      <c r="AF2" s="5"/>
    </row>
    <row r="3" spans="2:33" s="1" customFormat="1" ht="39" customHeight="1" thickBot="1" x14ac:dyDescent="0.3">
      <c r="B3" s="11" t="s">
        <v>198</v>
      </c>
      <c r="C3" s="13" t="s">
        <v>88</v>
      </c>
      <c r="D3" s="14">
        <v>1136</v>
      </c>
      <c r="E3" s="14"/>
      <c r="F3" s="11" t="s">
        <v>199</v>
      </c>
      <c r="G3" s="2" t="s">
        <v>88</v>
      </c>
      <c r="H3" s="14">
        <v>500</v>
      </c>
      <c r="J3" s="11" t="s">
        <v>198</v>
      </c>
      <c r="K3" s="13" t="s">
        <v>88</v>
      </c>
      <c r="L3" s="14">
        <f>800+(17*21)</f>
        <v>1157</v>
      </c>
      <c r="M3" s="14"/>
      <c r="N3" s="11" t="s">
        <v>199</v>
      </c>
      <c r="O3" s="2" t="s">
        <v>88</v>
      </c>
      <c r="P3" s="14">
        <v>450</v>
      </c>
      <c r="R3" s="11" t="s">
        <v>198</v>
      </c>
      <c r="S3" s="13" t="s">
        <v>88</v>
      </c>
      <c r="T3" s="14">
        <f>1073+130</f>
        <v>1203</v>
      </c>
      <c r="U3" s="14"/>
      <c r="V3" s="11" t="s">
        <v>199</v>
      </c>
      <c r="W3" s="2" t="s">
        <v>88</v>
      </c>
      <c r="X3" s="14">
        <v>500</v>
      </c>
      <c r="AA3" s="13"/>
      <c r="AB3" s="14"/>
      <c r="AC3" s="14"/>
      <c r="AD3" s="2"/>
      <c r="AE3" s="14"/>
    </row>
    <row r="4" spans="2:33" ht="30" customHeight="1" x14ac:dyDescent="0.25">
      <c r="B4" s="6" t="s">
        <v>22</v>
      </c>
      <c r="C4" s="7" t="s">
        <v>23</v>
      </c>
      <c r="F4" s="6" t="s">
        <v>22</v>
      </c>
      <c r="G4" s="7" t="s">
        <v>23</v>
      </c>
      <c r="J4" s="6" t="s">
        <v>22</v>
      </c>
      <c r="K4" s="7" t="s">
        <v>23</v>
      </c>
      <c r="L4" s="15"/>
      <c r="N4" s="6" t="s">
        <v>22</v>
      </c>
      <c r="O4" s="7" t="s">
        <v>23</v>
      </c>
      <c r="R4" s="6" t="s">
        <v>22</v>
      </c>
      <c r="S4" s="7" t="s">
        <v>23</v>
      </c>
      <c r="V4" s="6" t="s">
        <v>22</v>
      </c>
      <c r="W4" s="7" t="s">
        <v>23</v>
      </c>
      <c r="AA4" s="6"/>
      <c r="AB4" s="7"/>
      <c r="AE4" s="6"/>
      <c r="AF4" s="7"/>
    </row>
    <row r="5" spans="2:33" ht="30" customHeight="1" x14ac:dyDescent="0.25">
      <c r="B5" s="2" t="s">
        <v>99</v>
      </c>
      <c r="C5" s="8" t="s">
        <v>106</v>
      </c>
      <c r="F5" s="2" t="s">
        <v>99</v>
      </c>
      <c r="G5" s="8">
        <v>350.7</v>
      </c>
      <c r="J5" s="2" t="s">
        <v>99</v>
      </c>
      <c r="K5" s="8" t="s">
        <v>200</v>
      </c>
      <c r="N5" s="2" t="s">
        <v>99</v>
      </c>
      <c r="O5" s="8">
        <v>317.95</v>
      </c>
      <c r="R5" s="2" t="s">
        <v>99</v>
      </c>
      <c r="S5" s="8" t="s">
        <v>200</v>
      </c>
      <c r="V5" s="2" t="s">
        <v>99</v>
      </c>
      <c r="W5" s="8">
        <v>481.92</v>
      </c>
      <c r="AA5" s="2"/>
      <c r="AB5" s="8"/>
      <c r="AE5" s="2"/>
      <c r="AF5" s="8"/>
    </row>
    <row r="6" spans="2:33" ht="30" customHeight="1" x14ac:dyDescent="0.25">
      <c r="B6" s="2" t="s">
        <v>3</v>
      </c>
      <c r="C6" s="8" t="s">
        <v>200</v>
      </c>
      <c r="F6" s="2" t="s">
        <v>201</v>
      </c>
      <c r="G6" s="8">
        <v>10.94</v>
      </c>
      <c r="J6" s="2" t="s">
        <v>3</v>
      </c>
      <c r="K6" s="8" t="s">
        <v>106</v>
      </c>
      <c r="N6" s="2"/>
      <c r="O6" s="8"/>
      <c r="R6" s="2" t="s">
        <v>3</v>
      </c>
      <c r="S6" s="8" t="s">
        <v>200</v>
      </c>
      <c r="V6" s="2"/>
      <c r="W6" s="8"/>
      <c r="AA6" s="2"/>
      <c r="AB6" s="8"/>
      <c r="AE6" s="2"/>
      <c r="AF6" s="8"/>
    </row>
    <row r="7" spans="2:33" ht="30" customHeight="1" x14ac:dyDescent="0.25">
      <c r="B7" s="2" t="s">
        <v>31</v>
      </c>
      <c r="C7" s="8" t="s">
        <v>106</v>
      </c>
      <c r="F7" s="2"/>
      <c r="G7" s="8"/>
      <c r="J7" s="2" t="s">
        <v>31</v>
      </c>
      <c r="K7" s="8" t="s">
        <v>106</v>
      </c>
      <c r="N7" s="2" t="s">
        <v>202</v>
      </c>
      <c r="O7" s="8" t="s">
        <v>203</v>
      </c>
      <c r="R7" s="2" t="s">
        <v>31</v>
      </c>
      <c r="S7" s="8" t="s">
        <v>200</v>
      </c>
      <c r="V7" s="2"/>
      <c r="W7" s="8"/>
      <c r="AA7" s="2"/>
      <c r="AB7" s="8"/>
      <c r="AE7" s="2"/>
      <c r="AF7" s="8"/>
    </row>
    <row r="8" spans="2:33" ht="45" x14ac:dyDescent="0.25">
      <c r="B8" s="2" t="s">
        <v>26</v>
      </c>
      <c r="C8" s="9" t="s">
        <v>106</v>
      </c>
      <c r="F8" s="2"/>
      <c r="G8" s="9"/>
      <c r="J8" s="2" t="s">
        <v>204</v>
      </c>
      <c r="K8" s="9" t="s">
        <v>205</v>
      </c>
      <c r="N8" s="2"/>
      <c r="O8" s="9"/>
      <c r="R8" s="2"/>
      <c r="S8" s="9"/>
      <c r="V8" s="2"/>
      <c r="W8" s="9"/>
      <c r="AA8" s="2"/>
      <c r="AB8" s="9"/>
      <c r="AE8" s="2"/>
      <c r="AF8" s="9"/>
    </row>
    <row r="9" spans="2:33" ht="26.25" customHeight="1" x14ac:dyDescent="0.25">
      <c r="C9" s="9"/>
      <c r="F9" s="2"/>
      <c r="G9" s="9"/>
      <c r="J9" s="2"/>
      <c r="K9" s="9"/>
      <c r="N9" s="2" t="s">
        <v>18</v>
      </c>
      <c r="O9" s="9"/>
      <c r="R9" s="2" t="s">
        <v>25</v>
      </c>
      <c r="S9" s="9" t="s">
        <v>200</v>
      </c>
      <c r="V9" s="2" t="s">
        <v>18</v>
      </c>
      <c r="W9" s="9"/>
      <c r="AA9" s="2"/>
      <c r="AB9" s="9"/>
      <c r="AE9" s="2"/>
      <c r="AF9" s="9"/>
    </row>
    <row r="10" spans="2:33" ht="30" customHeight="1" x14ac:dyDescent="0.25">
      <c r="C10" s="9"/>
      <c r="F10" s="2"/>
      <c r="G10" s="9"/>
      <c r="J10" s="2" t="s">
        <v>26</v>
      </c>
      <c r="K10" s="9" t="s">
        <v>106</v>
      </c>
      <c r="N10" s="2" t="s">
        <v>18</v>
      </c>
      <c r="O10" s="9"/>
      <c r="R10" s="2" t="s">
        <v>26</v>
      </c>
      <c r="S10" s="9" t="s">
        <v>200</v>
      </c>
      <c r="V10" s="2" t="s">
        <v>18</v>
      </c>
      <c r="W10" s="9"/>
      <c r="AA10" s="2"/>
      <c r="AB10" s="9"/>
      <c r="AE10" s="2"/>
      <c r="AF10" s="9"/>
    </row>
    <row r="11" spans="2:33" ht="30" customHeight="1" x14ac:dyDescent="0.25">
      <c r="B11" s="2" t="s">
        <v>6</v>
      </c>
      <c r="C11" s="16">
        <f>SUM(Lista[Preço])</f>
        <v>0</v>
      </c>
      <c r="F11" s="2"/>
      <c r="G11" s="9"/>
      <c r="J11" s="2" t="s">
        <v>6</v>
      </c>
      <c r="K11" s="9">
        <f>SUM(Lista5[Preço])</f>
        <v>0</v>
      </c>
      <c r="N11" s="2" t="s">
        <v>6</v>
      </c>
      <c r="O11" s="9">
        <f>SUM(Lista36[Preço])</f>
        <v>317.95</v>
      </c>
      <c r="R11" s="2"/>
      <c r="S11" s="9"/>
      <c r="V11" s="2" t="s">
        <v>6</v>
      </c>
      <c r="W11" s="9">
        <f>SUM(Lista369[Preço])</f>
        <v>481.92</v>
      </c>
      <c r="AA11" s="2"/>
      <c r="AB11" s="9"/>
      <c r="AE11" s="2"/>
      <c r="AF11" s="9"/>
    </row>
    <row r="12" spans="2:33" ht="30" customHeight="1" x14ac:dyDescent="0.25">
      <c r="B12" s="2" t="s">
        <v>206</v>
      </c>
      <c r="F12" s="2" t="s">
        <v>6</v>
      </c>
      <c r="G12" s="9">
        <f>SUM(Lista3[Preço])</f>
        <v>361.64</v>
      </c>
      <c r="J12" s="2"/>
      <c r="K12" s="5"/>
      <c r="N12" s="2" t="s">
        <v>125</v>
      </c>
      <c r="O12" s="10">
        <f>P3-Lista36[[#Totals],[Preço]]</f>
        <v>132.05000000000001</v>
      </c>
      <c r="R12" s="2"/>
      <c r="S12" s="5"/>
      <c r="V12" s="2" t="s">
        <v>125</v>
      </c>
      <c r="W12" s="10">
        <f>X3-SUM(Lista369[Preço])</f>
        <v>18.079999999999984</v>
      </c>
      <c r="AA12" s="2"/>
      <c r="AB12" s="5"/>
      <c r="AE12" s="2"/>
      <c r="AF12" s="10"/>
    </row>
    <row r="13" spans="2:33" ht="30" customHeight="1" x14ac:dyDescent="0.25">
      <c r="B13" s="2" t="s">
        <v>27</v>
      </c>
      <c r="C13" s="10">
        <v>100</v>
      </c>
      <c r="F13" s="2" t="s">
        <v>125</v>
      </c>
      <c r="G13" s="10">
        <f>H3-SUM(Lista3[Preço])</f>
        <v>138.36000000000001</v>
      </c>
      <c r="J13" s="2" t="s">
        <v>56</v>
      </c>
      <c r="K13" s="10">
        <v>90</v>
      </c>
      <c r="R13" s="2" t="s">
        <v>34</v>
      </c>
      <c r="S13" s="10">
        <v>128</v>
      </c>
      <c r="AA13" s="2"/>
      <c r="AB13" s="10"/>
    </row>
    <row r="14" spans="2:33" ht="30" customHeight="1" x14ac:dyDescent="0.3">
      <c r="B14" s="12" t="s">
        <v>207</v>
      </c>
      <c r="E14" s="1"/>
      <c r="F14" t="s">
        <v>206</v>
      </c>
      <c r="H14" s="1"/>
      <c r="J14" s="12"/>
      <c r="K14" s="5"/>
      <c r="M14" s="1"/>
      <c r="N14" s="4" t="s">
        <v>6</v>
      </c>
      <c r="O14" s="5"/>
      <c r="P14" s="1"/>
      <c r="R14" s="12"/>
      <c r="S14" s="5"/>
      <c r="U14" s="1"/>
      <c r="V14" s="4" t="s">
        <v>6</v>
      </c>
      <c r="W14" s="5"/>
      <c r="X14" s="1"/>
      <c r="AA14" s="12"/>
      <c r="AB14" s="5"/>
      <c r="AD14" s="1"/>
      <c r="AE14" s="4"/>
      <c r="AF14" s="5"/>
      <c r="AG14" s="1"/>
    </row>
    <row r="15" spans="2:33" ht="36.75" customHeight="1" x14ac:dyDescent="0.3">
      <c r="B15" s="2" t="s">
        <v>18</v>
      </c>
      <c r="E15" s="1"/>
      <c r="F15" s="4" t="s">
        <v>6</v>
      </c>
      <c r="G15" s="5"/>
      <c r="H15" s="14">
        <v>400</v>
      </c>
      <c r="J15" s="2" t="s">
        <v>18</v>
      </c>
      <c r="K15" s="5"/>
      <c r="M15" s="1"/>
      <c r="N15" s="11" t="s">
        <v>208</v>
      </c>
      <c r="O15" t="s">
        <v>209</v>
      </c>
      <c r="P15" s="14">
        <v>500</v>
      </c>
      <c r="R15" s="2" t="s">
        <v>18</v>
      </c>
      <c r="S15" s="5"/>
      <c r="U15" s="1"/>
      <c r="V15" s="11" t="s">
        <v>208</v>
      </c>
      <c r="W15" t="s">
        <v>209</v>
      </c>
      <c r="X15" s="14">
        <v>400</v>
      </c>
    </row>
    <row r="16" spans="2:33" ht="54.75" customHeight="1" thickBot="1" x14ac:dyDescent="0.3">
      <c r="F16" s="11" t="s">
        <v>208</v>
      </c>
      <c r="G16" t="s">
        <v>209</v>
      </c>
      <c r="I16" t="s">
        <v>210</v>
      </c>
      <c r="J16" s="2"/>
      <c r="K16" s="5"/>
      <c r="N16" s="6" t="s">
        <v>22</v>
      </c>
      <c r="O16" s="7" t="s">
        <v>23</v>
      </c>
      <c r="R16" s="2"/>
      <c r="S16" s="5"/>
      <c r="V16" s="6" t="s">
        <v>22</v>
      </c>
      <c r="W16" s="7" t="s">
        <v>23</v>
      </c>
    </row>
    <row r="17" spans="6:23" ht="30" customHeight="1" x14ac:dyDescent="0.25">
      <c r="F17" s="6" t="s">
        <v>22</v>
      </c>
      <c r="G17" s="7" t="s">
        <v>23</v>
      </c>
      <c r="J17" s="2"/>
      <c r="K17" s="5"/>
      <c r="N17" s="2" t="s">
        <v>211</v>
      </c>
      <c r="O17" s="8">
        <v>70</v>
      </c>
      <c r="R17" s="2"/>
      <c r="S17" s="5"/>
      <c r="V17" s="2" t="s">
        <v>212</v>
      </c>
      <c r="W17" s="8">
        <v>157.30000000000001</v>
      </c>
    </row>
    <row r="18" spans="6:23" ht="30" customHeight="1" x14ac:dyDescent="0.25">
      <c r="F18" s="2" t="s">
        <v>213</v>
      </c>
      <c r="G18" s="8">
        <v>78</v>
      </c>
      <c r="J18" s="2"/>
      <c r="K18" s="5"/>
      <c r="N18" s="2" t="s">
        <v>214</v>
      </c>
      <c r="O18" s="8">
        <v>56.1</v>
      </c>
      <c r="R18" s="2"/>
      <c r="S18" s="5"/>
      <c r="V18" s="2" t="s">
        <v>215</v>
      </c>
      <c r="W18" s="8">
        <v>60</v>
      </c>
    </row>
    <row r="19" spans="6:23" ht="30" customHeight="1" x14ac:dyDescent="0.25">
      <c r="F19" s="2" t="s">
        <v>216</v>
      </c>
      <c r="G19" s="8">
        <v>32.9</v>
      </c>
      <c r="J19" s="2"/>
      <c r="K19" s="5"/>
      <c r="N19" s="2" t="s">
        <v>217</v>
      </c>
      <c r="O19" s="8">
        <v>77</v>
      </c>
      <c r="R19" s="2"/>
      <c r="S19" s="5"/>
      <c r="V19" s="2"/>
      <c r="W19" s="8"/>
    </row>
    <row r="20" spans="6:23" ht="42.75" customHeight="1" x14ac:dyDescent="0.25">
      <c r="F20" s="2" t="s">
        <v>218</v>
      </c>
      <c r="G20" s="8"/>
      <c r="J20" s="2"/>
      <c r="K20" s="5"/>
      <c r="N20" s="2" t="s">
        <v>219</v>
      </c>
      <c r="O20" s="9">
        <v>18.45</v>
      </c>
      <c r="R20" s="2"/>
      <c r="S20" s="5"/>
      <c r="V20" s="2"/>
      <c r="W20" s="9"/>
    </row>
    <row r="21" spans="6:23" ht="30" customHeight="1" x14ac:dyDescent="0.25">
      <c r="F21" s="2"/>
      <c r="G21" s="9"/>
      <c r="J21" s="2"/>
      <c r="K21" s="5"/>
      <c r="N21" s="2" t="s">
        <v>220</v>
      </c>
      <c r="O21" s="9">
        <v>46</v>
      </c>
      <c r="R21" s="2"/>
      <c r="S21" s="5"/>
      <c r="V21" s="2"/>
      <c r="W21" s="9"/>
    </row>
    <row r="22" spans="6:23" ht="30" customHeight="1" x14ac:dyDescent="0.25">
      <c r="F22" s="2"/>
      <c r="G22" s="9"/>
      <c r="J22" s="2"/>
      <c r="K22" s="5"/>
      <c r="N22" s="2" t="s">
        <v>221</v>
      </c>
      <c r="O22" s="9">
        <v>49.95</v>
      </c>
      <c r="R22" s="2"/>
      <c r="S22" s="5"/>
      <c r="V22" s="2" t="s">
        <v>18</v>
      </c>
      <c r="W22" s="9"/>
    </row>
    <row r="23" spans="6:23" ht="30" customHeight="1" x14ac:dyDescent="0.25">
      <c r="F23" s="2" t="s">
        <v>18</v>
      </c>
      <c r="G23" s="9"/>
      <c r="J23" s="2"/>
      <c r="K23" s="5"/>
      <c r="N23" s="2" t="s">
        <v>222</v>
      </c>
      <c r="O23" s="9">
        <v>128.9</v>
      </c>
      <c r="R23" s="2"/>
      <c r="S23" s="5"/>
      <c r="V23" s="2" t="s">
        <v>6</v>
      </c>
      <c r="W23" s="9">
        <f>SUM(Lista34710[Preço])</f>
        <v>217.3</v>
      </c>
    </row>
    <row r="24" spans="6:23" ht="30" customHeight="1" x14ac:dyDescent="0.25">
      <c r="F24" s="2" t="s">
        <v>6</v>
      </c>
      <c r="G24" s="9">
        <f>SUM(Lista34[Preço])</f>
        <v>110.9</v>
      </c>
      <c r="N24" s="2" t="s">
        <v>6</v>
      </c>
      <c r="O24" s="9">
        <f>SUM(Lista347[Preço])</f>
        <v>446.4</v>
      </c>
    </row>
    <row r="25" spans="6:23" ht="30" customHeight="1" x14ac:dyDescent="0.25">
      <c r="F25" s="2"/>
      <c r="G25" s="10"/>
      <c r="N25" t="s">
        <v>223</v>
      </c>
      <c r="O25" s="17">
        <f>P15-SUM(Lista347[Preço])</f>
        <v>53.600000000000023</v>
      </c>
    </row>
  </sheetData>
  <phoneticPr fontId="21" alignment="center"/>
  <printOptions horizontalCentered="1"/>
  <pageMargins left="0.7" right="0.7" top="0.75" bottom="0.75" header="0.3" footer="0.3"/>
  <pageSetup paperSize="9" fitToHeight="0" orientation="portrait" horizontalDpi="4294967293" r:id="rId1"/>
  <headerFooter differentFirst="1">
    <oddFooter>Page &amp;P of &amp;N</oddFooter>
  </headerFooter>
  <drawing r:id="rId2"/>
  <tableParts count="9"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F73B-4070-4DC6-92EF-FF675F93E91E}">
  <dimension ref="A1:H25"/>
  <sheetViews>
    <sheetView tabSelected="1" workbookViewId="0">
      <selection activeCell="L10" sqref="L10"/>
    </sheetView>
  </sheetViews>
  <sheetFormatPr defaultRowHeight="15" x14ac:dyDescent="0.25"/>
  <cols>
    <col min="1" max="1" width="10.7109375" bestFit="1" customWidth="1"/>
    <col min="3" max="4" width="11.5703125" customWidth="1"/>
    <col min="6" max="6" width="16.5703125" customWidth="1"/>
    <col min="7" max="7" width="11.5703125" customWidth="1"/>
    <col min="8" max="8" width="10.7109375" bestFit="1" customWidth="1"/>
  </cols>
  <sheetData>
    <row r="1" spans="1:8" ht="30" x14ac:dyDescent="0.25">
      <c r="A1" s="71" t="s">
        <v>225</v>
      </c>
      <c r="B1" s="71" t="s">
        <v>226</v>
      </c>
      <c r="C1" s="71" t="s">
        <v>227</v>
      </c>
      <c r="D1" s="71" t="s">
        <v>228</v>
      </c>
      <c r="E1" s="71" t="s">
        <v>229</v>
      </c>
      <c r="F1" s="71" t="s">
        <v>281</v>
      </c>
      <c r="G1" s="71" t="s">
        <v>230</v>
      </c>
      <c r="H1" s="71" t="s">
        <v>1</v>
      </c>
    </row>
    <row r="2" spans="1:8" ht="30" x14ac:dyDescent="0.25">
      <c r="A2" s="52">
        <v>46027</v>
      </c>
      <c r="B2" t="s">
        <v>239</v>
      </c>
      <c r="C2" t="s">
        <v>240</v>
      </c>
      <c r="D2" t="s">
        <v>240</v>
      </c>
      <c r="E2" t="s">
        <v>99</v>
      </c>
      <c r="F2" t="s">
        <v>241</v>
      </c>
      <c r="G2" t="s">
        <v>242</v>
      </c>
      <c r="H2" s="9">
        <v>5000</v>
      </c>
    </row>
    <row r="3" spans="1:8" ht="30" x14ac:dyDescent="0.25">
      <c r="A3" s="52">
        <v>46034</v>
      </c>
      <c r="B3" t="s">
        <v>237</v>
      </c>
      <c r="C3" t="s">
        <v>233</v>
      </c>
      <c r="D3" t="s">
        <v>236</v>
      </c>
      <c r="E3" t="s">
        <v>99</v>
      </c>
      <c r="F3" t="s">
        <v>243</v>
      </c>
      <c r="G3" t="s">
        <v>244</v>
      </c>
      <c r="H3" s="9">
        <v>320.45</v>
      </c>
    </row>
    <row r="4" spans="1:8" ht="30" x14ac:dyDescent="0.25">
      <c r="A4" s="52">
        <v>46058</v>
      </c>
      <c r="B4" t="s">
        <v>239</v>
      </c>
      <c r="C4" t="s">
        <v>240</v>
      </c>
      <c r="D4" t="s">
        <v>240</v>
      </c>
      <c r="E4" t="s">
        <v>99</v>
      </c>
      <c r="F4" t="s">
        <v>241</v>
      </c>
      <c r="G4" t="s">
        <v>245</v>
      </c>
      <c r="H4" s="9">
        <v>5000</v>
      </c>
    </row>
    <row r="5" spans="1:8" ht="30" x14ac:dyDescent="0.25">
      <c r="A5" s="52">
        <v>46071</v>
      </c>
      <c r="B5" t="s">
        <v>237</v>
      </c>
      <c r="C5" t="s">
        <v>246</v>
      </c>
      <c r="D5" t="s">
        <v>247</v>
      </c>
      <c r="E5" t="s">
        <v>201</v>
      </c>
      <c r="F5" t="s">
        <v>188</v>
      </c>
      <c r="G5" t="s">
        <v>248</v>
      </c>
      <c r="H5" s="9">
        <v>210.3</v>
      </c>
    </row>
    <row r="6" spans="1:8" ht="30" x14ac:dyDescent="0.25">
      <c r="A6" s="52">
        <v>46086</v>
      </c>
      <c r="B6" t="s">
        <v>239</v>
      </c>
      <c r="C6" t="s">
        <v>240</v>
      </c>
      <c r="D6" t="s">
        <v>240</v>
      </c>
      <c r="E6" t="s">
        <v>99</v>
      </c>
      <c r="F6" t="s">
        <v>241</v>
      </c>
      <c r="G6" t="s">
        <v>249</v>
      </c>
      <c r="H6" s="9">
        <v>5000</v>
      </c>
    </row>
    <row r="7" spans="1:8" ht="30" x14ac:dyDescent="0.25">
      <c r="A7" s="52">
        <v>46103</v>
      </c>
      <c r="B7" t="s">
        <v>237</v>
      </c>
      <c r="C7" t="s">
        <v>234</v>
      </c>
      <c r="D7" t="s">
        <v>250</v>
      </c>
      <c r="E7" t="s">
        <v>99</v>
      </c>
      <c r="F7" t="s">
        <v>187</v>
      </c>
      <c r="G7" t="s">
        <v>251</v>
      </c>
      <c r="H7" s="9">
        <v>58</v>
      </c>
    </row>
    <row r="8" spans="1:8" ht="30" x14ac:dyDescent="0.25">
      <c r="A8" s="52">
        <v>46117</v>
      </c>
      <c r="B8" t="s">
        <v>239</v>
      </c>
      <c r="C8" t="s">
        <v>240</v>
      </c>
      <c r="D8" t="s">
        <v>240</v>
      </c>
      <c r="E8" t="s">
        <v>99</v>
      </c>
      <c r="F8" t="s">
        <v>241</v>
      </c>
      <c r="G8" t="s">
        <v>252</v>
      </c>
      <c r="H8" s="9">
        <v>5000</v>
      </c>
    </row>
    <row r="9" spans="1:8" ht="30" x14ac:dyDescent="0.25">
      <c r="A9" s="52">
        <v>46127</v>
      </c>
      <c r="B9" t="s">
        <v>237</v>
      </c>
      <c r="C9" t="s">
        <v>232</v>
      </c>
      <c r="D9" t="s">
        <v>253</v>
      </c>
      <c r="E9" t="s">
        <v>99</v>
      </c>
      <c r="F9" t="s">
        <v>243</v>
      </c>
      <c r="G9" t="s">
        <v>254</v>
      </c>
      <c r="H9" s="9">
        <v>187.45</v>
      </c>
    </row>
    <row r="10" spans="1:8" ht="30" x14ac:dyDescent="0.25">
      <c r="A10" s="52">
        <v>46147</v>
      </c>
      <c r="B10" t="s">
        <v>239</v>
      </c>
      <c r="C10" t="s">
        <v>240</v>
      </c>
      <c r="D10" t="s">
        <v>240</v>
      </c>
      <c r="E10" t="s">
        <v>99</v>
      </c>
      <c r="F10" t="s">
        <v>241</v>
      </c>
      <c r="G10" t="s">
        <v>255</v>
      </c>
      <c r="H10" s="9">
        <v>5000</v>
      </c>
    </row>
    <row r="11" spans="1:8" ht="45" x14ac:dyDescent="0.25">
      <c r="A11" s="52">
        <v>46162</v>
      </c>
      <c r="B11" t="s">
        <v>237</v>
      </c>
      <c r="C11" t="s">
        <v>256</v>
      </c>
      <c r="D11" t="s">
        <v>257</v>
      </c>
      <c r="E11" t="s">
        <v>201</v>
      </c>
      <c r="F11" t="s">
        <v>187</v>
      </c>
      <c r="G11" t="s">
        <v>258</v>
      </c>
      <c r="H11" s="9">
        <v>96.8</v>
      </c>
    </row>
    <row r="12" spans="1:8" ht="30" x14ac:dyDescent="0.25">
      <c r="A12" s="52">
        <v>46178</v>
      </c>
      <c r="B12" t="s">
        <v>239</v>
      </c>
      <c r="C12" t="s">
        <v>240</v>
      </c>
      <c r="D12" t="s">
        <v>240</v>
      </c>
      <c r="E12" t="s">
        <v>99</v>
      </c>
      <c r="F12" t="s">
        <v>241</v>
      </c>
      <c r="G12" t="s">
        <v>259</v>
      </c>
      <c r="H12" s="9">
        <v>5000</v>
      </c>
    </row>
    <row r="13" spans="1:8" ht="30" x14ac:dyDescent="0.25">
      <c r="A13" s="52">
        <v>46197</v>
      </c>
      <c r="B13" t="s">
        <v>237</v>
      </c>
      <c r="C13" t="s">
        <v>233</v>
      </c>
      <c r="D13" t="s">
        <v>260</v>
      </c>
      <c r="E13" t="s">
        <v>99</v>
      </c>
      <c r="F13" t="s">
        <v>187</v>
      </c>
      <c r="G13" t="s">
        <v>261</v>
      </c>
      <c r="H13" s="9">
        <v>142.5</v>
      </c>
    </row>
    <row r="14" spans="1:8" ht="30" x14ac:dyDescent="0.25">
      <c r="A14" s="52">
        <v>46208</v>
      </c>
      <c r="B14" t="s">
        <v>239</v>
      </c>
      <c r="C14" t="s">
        <v>240</v>
      </c>
      <c r="D14" t="s">
        <v>240</v>
      </c>
      <c r="E14" t="s">
        <v>99</v>
      </c>
      <c r="F14" t="s">
        <v>241</v>
      </c>
      <c r="G14" t="s">
        <v>262</v>
      </c>
      <c r="H14" s="9">
        <v>5000</v>
      </c>
    </row>
    <row r="15" spans="1:8" ht="30" x14ac:dyDescent="0.25">
      <c r="A15" s="52">
        <v>46214</v>
      </c>
      <c r="B15" t="s">
        <v>237</v>
      </c>
      <c r="C15" t="s">
        <v>246</v>
      </c>
      <c r="D15" t="s">
        <v>263</v>
      </c>
      <c r="E15" t="s">
        <v>99</v>
      </c>
      <c r="F15" t="s">
        <v>187</v>
      </c>
      <c r="G15" t="s">
        <v>238</v>
      </c>
      <c r="H15" s="9">
        <v>34.9</v>
      </c>
    </row>
    <row r="16" spans="1:8" ht="30" x14ac:dyDescent="0.25">
      <c r="A16" s="52">
        <v>46239</v>
      </c>
      <c r="B16" t="s">
        <v>239</v>
      </c>
      <c r="C16" t="s">
        <v>240</v>
      </c>
      <c r="D16" t="s">
        <v>240</v>
      </c>
      <c r="E16" t="s">
        <v>99</v>
      </c>
      <c r="F16" t="s">
        <v>241</v>
      </c>
      <c r="G16" t="s">
        <v>264</v>
      </c>
      <c r="H16" s="9">
        <v>5000</v>
      </c>
    </row>
    <row r="17" spans="1:8" ht="30" x14ac:dyDescent="0.25">
      <c r="A17" s="52">
        <v>46253</v>
      </c>
      <c r="B17" t="s">
        <v>237</v>
      </c>
      <c r="C17" t="s">
        <v>265</v>
      </c>
      <c r="D17" t="s">
        <v>266</v>
      </c>
      <c r="E17" t="s">
        <v>201</v>
      </c>
      <c r="F17" t="s">
        <v>243</v>
      </c>
      <c r="G17" t="s">
        <v>267</v>
      </c>
      <c r="H17" s="9">
        <v>249.9</v>
      </c>
    </row>
    <row r="18" spans="1:8" ht="30" x14ac:dyDescent="0.25">
      <c r="A18" s="52">
        <v>46270</v>
      </c>
      <c r="B18" t="s">
        <v>239</v>
      </c>
      <c r="C18" t="s">
        <v>240</v>
      </c>
      <c r="D18" t="s">
        <v>240</v>
      </c>
      <c r="E18" t="s">
        <v>99</v>
      </c>
      <c r="F18" t="s">
        <v>241</v>
      </c>
      <c r="G18" t="s">
        <v>268</v>
      </c>
      <c r="H18" s="9">
        <v>5000</v>
      </c>
    </row>
    <row r="19" spans="1:8" ht="30" x14ac:dyDescent="0.25">
      <c r="A19" s="52">
        <v>46292</v>
      </c>
      <c r="B19" t="s">
        <v>237</v>
      </c>
      <c r="C19" t="s">
        <v>234</v>
      </c>
      <c r="D19" t="s">
        <v>224</v>
      </c>
      <c r="E19" t="s">
        <v>99</v>
      </c>
      <c r="F19" t="s">
        <v>187</v>
      </c>
      <c r="G19" t="s">
        <v>269</v>
      </c>
      <c r="H19" s="9">
        <v>780</v>
      </c>
    </row>
    <row r="20" spans="1:8" ht="30" x14ac:dyDescent="0.25">
      <c r="A20" s="52">
        <v>46300</v>
      </c>
      <c r="B20" t="s">
        <v>239</v>
      </c>
      <c r="C20" t="s">
        <v>240</v>
      </c>
      <c r="D20" t="s">
        <v>240</v>
      </c>
      <c r="E20" t="s">
        <v>99</v>
      </c>
      <c r="F20" t="s">
        <v>241</v>
      </c>
      <c r="G20" t="s">
        <v>270</v>
      </c>
      <c r="H20" s="9">
        <v>5000</v>
      </c>
    </row>
    <row r="21" spans="1:8" ht="30" x14ac:dyDescent="0.25">
      <c r="A21" s="52">
        <v>46311</v>
      </c>
      <c r="B21" t="s">
        <v>237</v>
      </c>
      <c r="C21" t="s">
        <v>232</v>
      </c>
      <c r="D21" t="s">
        <v>271</v>
      </c>
      <c r="E21" t="s">
        <v>99</v>
      </c>
      <c r="F21" t="s">
        <v>243</v>
      </c>
      <c r="G21" t="s">
        <v>272</v>
      </c>
      <c r="H21" s="9">
        <v>119.9</v>
      </c>
    </row>
    <row r="22" spans="1:8" ht="30" x14ac:dyDescent="0.25">
      <c r="A22" s="52">
        <v>46331</v>
      </c>
      <c r="B22" t="s">
        <v>239</v>
      </c>
      <c r="C22" t="s">
        <v>240</v>
      </c>
      <c r="D22" t="s">
        <v>240</v>
      </c>
      <c r="E22" t="s">
        <v>99</v>
      </c>
      <c r="F22" t="s">
        <v>241</v>
      </c>
      <c r="G22" t="s">
        <v>273</v>
      </c>
      <c r="H22" s="9">
        <v>5000</v>
      </c>
    </row>
    <row r="23" spans="1:8" x14ac:dyDescent="0.25">
      <c r="A23" s="52">
        <v>46349</v>
      </c>
      <c r="B23" t="s">
        <v>237</v>
      </c>
      <c r="C23" t="s">
        <v>274</v>
      </c>
      <c r="D23" t="s">
        <v>275</v>
      </c>
      <c r="E23" t="s">
        <v>201</v>
      </c>
      <c r="F23" t="s">
        <v>187</v>
      </c>
      <c r="G23" t="s">
        <v>276</v>
      </c>
      <c r="H23" s="9">
        <v>399.9</v>
      </c>
    </row>
    <row r="24" spans="1:8" ht="30" x14ac:dyDescent="0.25">
      <c r="A24" s="52">
        <v>46361</v>
      </c>
      <c r="B24" t="s">
        <v>239</v>
      </c>
      <c r="C24" t="s">
        <v>240</v>
      </c>
      <c r="D24" t="s">
        <v>240</v>
      </c>
      <c r="E24" t="s">
        <v>99</v>
      </c>
      <c r="F24" t="s">
        <v>241</v>
      </c>
      <c r="G24" t="s">
        <v>277</v>
      </c>
      <c r="H24" s="9">
        <v>5000</v>
      </c>
    </row>
    <row r="25" spans="1:8" ht="30" x14ac:dyDescent="0.25">
      <c r="A25" s="52">
        <v>46376</v>
      </c>
      <c r="B25" t="s">
        <v>237</v>
      </c>
      <c r="C25" t="s">
        <v>278</v>
      </c>
      <c r="D25" t="s">
        <v>279</v>
      </c>
      <c r="E25" t="s">
        <v>99</v>
      </c>
      <c r="F25" t="s">
        <v>187</v>
      </c>
      <c r="G25" t="s">
        <v>280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A6E67-30BC-4981-B738-B8DB84381F3F}">
  <dimension ref="A1:B10"/>
  <sheetViews>
    <sheetView workbookViewId="0">
      <selection activeCell="F14" sqref="F14"/>
    </sheetView>
  </sheetViews>
  <sheetFormatPr defaultRowHeight="15" x14ac:dyDescent="0.25"/>
  <cols>
    <col min="2" max="2" width="14.42578125" customWidth="1"/>
  </cols>
  <sheetData>
    <row r="1" spans="1:2" x14ac:dyDescent="0.25">
      <c r="A1" s="71" t="s">
        <v>231</v>
      </c>
      <c r="B1" s="71" t="s">
        <v>227</v>
      </c>
    </row>
    <row r="2" spans="1:2" x14ac:dyDescent="0.25">
      <c r="A2">
        <v>1</v>
      </c>
      <c r="B2" t="s">
        <v>232</v>
      </c>
    </row>
    <row r="3" spans="1:2" x14ac:dyDescent="0.25">
      <c r="A3">
        <v>2</v>
      </c>
      <c r="B3" t="s">
        <v>233</v>
      </c>
    </row>
    <row r="4" spans="1:2" x14ac:dyDescent="0.25">
      <c r="A4">
        <v>3</v>
      </c>
      <c r="B4" t="s">
        <v>234</v>
      </c>
    </row>
    <row r="5" spans="1:2" x14ac:dyDescent="0.25">
      <c r="A5">
        <v>4</v>
      </c>
      <c r="B5" t="s">
        <v>246</v>
      </c>
    </row>
    <row r="6" spans="1:2" x14ac:dyDescent="0.25">
      <c r="A6">
        <v>5</v>
      </c>
      <c r="B6" t="s">
        <v>256</v>
      </c>
    </row>
    <row r="7" spans="1:2" x14ac:dyDescent="0.25">
      <c r="A7">
        <v>6</v>
      </c>
      <c r="B7" t="s">
        <v>265</v>
      </c>
    </row>
    <row r="8" spans="1:2" x14ac:dyDescent="0.25">
      <c r="A8">
        <v>7</v>
      </c>
      <c r="B8" t="s">
        <v>274</v>
      </c>
    </row>
    <row r="9" spans="1:2" x14ac:dyDescent="0.25">
      <c r="A9">
        <v>8</v>
      </c>
      <c r="B9" t="s">
        <v>278</v>
      </c>
    </row>
    <row r="10" spans="1:2" x14ac:dyDescent="0.25">
      <c r="A10">
        <v>9</v>
      </c>
      <c r="B10" t="s">
        <v>240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77540-FE29-4ECE-A2AA-ED222BE818AF}">
  <dimension ref="A1:B4"/>
  <sheetViews>
    <sheetView workbookViewId="0">
      <selection activeCell="H26" sqref="H26"/>
    </sheetView>
  </sheetViews>
  <sheetFormatPr defaultRowHeight="15" x14ac:dyDescent="0.25"/>
  <sheetData>
    <row r="1" spans="1:2" x14ac:dyDescent="0.25">
      <c r="A1" s="71" t="s">
        <v>231</v>
      </c>
      <c r="B1" s="71" t="s">
        <v>229</v>
      </c>
    </row>
    <row r="2" spans="1:2" x14ac:dyDescent="0.25">
      <c r="A2">
        <v>1</v>
      </c>
      <c r="B2" t="s">
        <v>99</v>
      </c>
    </row>
    <row r="3" spans="1:2" x14ac:dyDescent="0.25">
      <c r="A3">
        <v>2</v>
      </c>
      <c r="B3" t="s">
        <v>201</v>
      </c>
    </row>
    <row r="4" spans="1:2" x14ac:dyDescent="0.25">
      <c r="A4">
        <v>3</v>
      </c>
      <c r="B4" t="s">
        <v>235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5</vt:i4>
      </vt:variant>
    </vt:vector>
  </HeadingPairs>
  <TitlesOfParts>
    <vt:vector size="13" baseType="lpstr">
      <vt:lpstr>2024</vt:lpstr>
      <vt:lpstr>Gustavo 2023</vt:lpstr>
      <vt:lpstr>Sofia 2023 (2)</vt:lpstr>
      <vt:lpstr>Sofia 2023</vt:lpstr>
      <vt:lpstr>2022</vt:lpstr>
      <vt:lpstr>Movimentações</vt:lpstr>
      <vt:lpstr>Categorias</vt:lpstr>
      <vt:lpstr>Contas</vt:lpstr>
      <vt:lpstr>'2022'!Titulos_de_impressao</vt:lpstr>
      <vt:lpstr>'2024'!Titulos_de_impressao</vt:lpstr>
      <vt:lpstr>'Gustavo 2023'!Titulos_de_impressao</vt:lpstr>
      <vt:lpstr>'Sofia 2023'!Titulos_de_impressao</vt:lpstr>
      <vt:lpstr>'Sofia 2023 (2)'!Titulos_de_impressao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gustavo silva melo</cp:lastModifiedBy>
  <cp:revision/>
  <dcterms:created xsi:type="dcterms:W3CDTF">2017-02-03T07:32:23Z</dcterms:created>
  <dcterms:modified xsi:type="dcterms:W3CDTF">2026-06-26T00:39:01Z</dcterms:modified>
  <cp:category/>
  <cp:contentStatus/>
</cp:coreProperties>
</file>